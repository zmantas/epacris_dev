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EPACRIS/Code/Result/Checking/"/>
    </mc:Choice>
  </mc:AlternateContent>
  <xr:revisionPtr revIDLastSave="0" documentId="13_ncr:1_{B04F51A4-253C-A44E-8690-A1F82034B717}" xr6:coauthVersionLast="47" xr6:coauthVersionMax="47" xr10:uidLastSave="{00000000-0000-0000-0000-000000000000}"/>
  <bookViews>
    <workbookView xWindow="1200" yWindow="500" windowWidth="31600" windowHeight="18140" xr2:uid="{B80E2D07-42A1-A84B-8A3A-094E170C8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U4" i="1" l="1"/>
  <c r="DU5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U59" i="1"/>
  <c r="DU60" i="1"/>
  <c r="DU61" i="1"/>
  <c r="DU62" i="1"/>
  <c r="DU63" i="1"/>
  <c r="DU64" i="1"/>
  <c r="DU65" i="1"/>
  <c r="DU66" i="1"/>
  <c r="DU67" i="1"/>
  <c r="DU68" i="1"/>
  <c r="DU69" i="1"/>
  <c r="DU70" i="1"/>
  <c r="DU71" i="1"/>
  <c r="DU72" i="1"/>
  <c r="DU3" i="1"/>
  <c r="DS63" i="1"/>
  <c r="DS64" i="1"/>
  <c r="DR6" i="1"/>
  <c r="DR30" i="1"/>
  <c r="DR42" i="1"/>
  <c r="DR54" i="1"/>
  <c r="DR63" i="1"/>
  <c r="DR71" i="1"/>
  <c r="DQ71" i="1"/>
  <c r="DP64" i="1"/>
  <c r="DN63" i="1"/>
  <c r="DP63" i="1" s="1"/>
  <c r="DN64" i="1"/>
  <c r="DT64" i="1" s="1"/>
  <c r="DN65" i="1"/>
  <c r="DT65" i="1" s="1"/>
  <c r="DN66" i="1"/>
  <c r="DS66" i="1" s="1"/>
  <c r="DN67" i="1"/>
  <c r="DS67" i="1" s="1"/>
  <c r="DN68" i="1"/>
  <c r="DR68" i="1" s="1"/>
  <c r="DN69" i="1"/>
  <c r="DP69" i="1" s="1"/>
  <c r="DN70" i="1"/>
  <c r="DP70" i="1" s="1"/>
  <c r="DN71" i="1"/>
  <c r="DP71" i="1" s="1"/>
  <c r="DN72" i="1"/>
  <c r="DP72" i="1" s="1"/>
  <c r="DN4" i="1"/>
  <c r="DQ4" i="1" s="1"/>
  <c r="DN5" i="1"/>
  <c r="DQ5" i="1" s="1"/>
  <c r="DN6" i="1"/>
  <c r="DQ6" i="1" s="1"/>
  <c r="DN7" i="1"/>
  <c r="DQ7" i="1" s="1"/>
  <c r="DN8" i="1"/>
  <c r="DQ8" i="1" s="1"/>
  <c r="DN9" i="1"/>
  <c r="DQ9" i="1" s="1"/>
  <c r="DN10" i="1"/>
  <c r="DQ10" i="1" s="1"/>
  <c r="DN11" i="1"/>
  <c r="DQ11" i="1" s="1"/>
  <c r="DN12" i="1"/>
  <c r="DQ12" i="1" s="1"/>
  <c r="DN13" i="1"/>
  <c r="DQ13" i="1" s="1"/>
  <c r="DN14" i="1"/>
  <c r="DQ14" i="1" s="1"/>
  <c r="DN15" i="1"/>
  <c r="DQ15" i="1" s="1"/>
  <c r="DN16" i="1"/>
  <c r="DQ16" i="1" s="1"/>
  <c r="DN17" i="1"/>
  <c r="DQ17" i="1" s="1"/>
  <c r="DN18" i="1"/>
  <c r="DQ18" i="1" s="1"/>
  <c r="DN19" i="1"/>
  <c r="DQ19" i="1" s="1"/>
  <c r="DN20" i="1"/>
  <c r="DQ20" i="1" s="1"/>
  <c r="DN21" i="1"/>
  <c r="DQ21" i="1" s="1"/>
  <c r="DN22" i="1"/>
  <c r="DQ22" i="1" s="1"/>
  <c r="DN23" i="1"/>
  <c r="DQ23" i="1" s="1"/>
  <c r="DN24" i="1"/>
  <c r="DQ24" i="1" s="1"/>
  <c r="DN25" i="1"/>
  <c r="DQ25" i="1" s="1"/>
  <c r="DN26" i="1"/>
  <c r="DQ26" i="1" s="1"/>
  <c r="DN27" i="1"/>
  <c r="DQ27" i="1" s="1"/>
  <c r="DN28" i="1"/>
  <c r="DQ28" i="1" s="1"/>
  <c r="DN29" i="1"/>
  <c r="DQ29" i="1" s="1"/>
  <c r="DN30" i="1"/>
  <c r="DQ30" i="1" s="1"/>
  <c r="DN31" i="1"/>
  <c r="DQ31" i="1" s="1"/>
  <c r="DN32" i="1"/>
  <c r="DQ32" i="1" s="1"/>
  <c r="DN33" i="1"/>
  <c r="DQ33" i="1" s="1"/>
  <c r="DN34" i="1"/>
  <c r="DQ34" i="1" s="1"/>
  <c r="DN35" i="1"/>
  <c r="DQ35" i="1" s="1"/>
  <c r="DN36" i="1"/>
  <c r="DQ36" i="1" s="1"/>
  <c r="DN37" i="1"/>
  <c r="DQ37" i="1" s="1"/>
  <c r="DN38" i="1"/>
  <c r="DQ38" i="1" s="1"/>
  <c r="DN39" i="1"/>
  <c r="DQ39" i="1" s="1"/>
  <c r="DN40" i="1"/>
  <c r="DQ40" i="1" s="1"/>
  <c r="DN41" i="1"/>
  <c r="DQ41" i="1" s="1"/>
  <c r="DN42" i="1"/>
  <c r="DQ42" i="1" s="1"/>
  <c r="DN43" i="1"/>
  <c r="DQ43" i="1" s="1"/>
  <c r="DN44" i="1"/>
  <c r="DQ44" i="1" s="1"/>
  <c r="DN45" i="1"/>
  <c r="DQ45" i="1" s="1"/>
  <c r="DN46" i="1"/>
  <c r="DQ46" i="1" s="1"/>
  <c r="DN47" i="1"/>
  <c r="DQ47" i="1" s="1"/>
  <c r="DN48" i="1"/>
  <c r="DQ48" i="1" s="1"/>
  <c r="DN49" i="1"/>
  <c r="DQ49" i="1" s="1"/>
  <c r="DN50" i="1"/>
  <c r="DQ50" i="1" s="1"/>
  <c r="DN51" i="1"/>
  <c r="DQ51" i="1" s="1"/>
  <c r="DN52" i="1"/>
  <c r="DQ52" i="1" s="1"/>
  <c r="DN53" i="1"/>
  <c r="DQ53" i="1" s="1"/>
  <c r="DN54" i="1"/>
  <c r="DQ54" i="1" s="1"/>
  <c r="DN55" i="1"/>
  <c r="DQ55" i="1" s="1"/>
  <c r="DN56" i="1"/>
  <c r="DQ56" i="1" s="1"/>
  <c r="DN57" i="1"/>
  <c r="DQ57" i="1" s="1"/>
  <c r="DN58" i="1"/>
  <c r="DQ58" i="1" s="1"/>
  <c r="DN59" i="1"/>
  <c r="DQ59" i="1" s="1"/>
  <c r="DN60" i="1"/>
  <c r="DQ60" i="1" s="1"/>
  <c r="DN61" i="1"/>
  <c r="DQ61" i="1" s="1"/>
  <c r="DN62" i="1"/>
  <c r="DP62" i="1" s="1"/>
  <c r="DN3" i="1"/>
  <c r="DQ3" i="1" s="1"/>
  <c r="DS41" i="1" l="1"/>
  <c r="DR62" i="1"/>
  <c r="DS39" i="1"/>
  <c r="DT3" i="1"/>
  <c r="DS52" i="1"/>
  <c r="DS38" i="1"/>
  <c r="DR29" i="1"/>
  <c r="DT71" i="1"/>
  <c r="DS29" i="1"/>
  <c r="DS27" i="1"/>
  <c r="DS5" i="1"/>
  <c r="DR4" i="1"/>
  <c r="DS71" i="1"/>
  <c r="DT63" i="1"/>
  <c r="DQ67" i="1"/>
  <c r="DQ66" i="1"/>
  <c r="DR55" i="1"/>
  <c r="DR28" i="1"/>
  <c r="DS65" i="1"/>
  <c r="DQ65" i="1"/>
  <c r="DR26" i="1"/>
  <c r="DS28" i="1"/>
  <c r="DT62" i="1"/>
  <c r="DQ64" i="1"/>
  <c r="DR53" i="1"/>
  <c r="DR19" i="1"/>
  <c r="DT51" i="1"/>
  <c r="DQ63" i="1"/>
  <c r="DR50" i="1"/>
  <c r="DR18" i="1"/>
  <c r="DS62" i="1"/>
  <c r="DS26" i="1"/>
  <c r="DT50" i="1"/>
  <c r="DQ62" i="1"/>
  <c r="DR43" i="1"/>
  <c r="DR17" i="1"/>
  <c r="DS53" i="1"/>
  <c r="DS17" i="1"/>
  <c r="DT39" i="1"/>
  <c r="DS16" i="1"/>
  <c r="DT38" i="1"/>
  <c r="DP68" i="1"/>
  <c r="DR16" i="1"/>
  <c r="DP67" i="1"/>
  <c r="DR67" i="1"/>
  <c r="DR41" i="1"/>
  <c r="DR14" i="1"/>
  <c r="DS51" i="1"/>
  <c r="DS15" i="1"/>
  <c r="DT27" i="1"/>
  <c r="DP66" i="1"/>
  <c r="DR66" i="1"/>
  <c r="DR40" i="1"/>
  <c r="DR7" i="1"/>
  <c r="DS50" i="1"/>
  <c r="DS14" i="1"/>
  <c r="DT26" i="1"/>
  <c r="DT15" i="1"/>
  <c r="DR65" i="1"/>
  <c r="DR38" i="1"/>
  <c r="DR64" i="1"/>
  <c r="DR31" i="1"/>
  <c r="DR5" i="1"/>
  <c r="DS40" i="1"/>
  <c r="DS4" i="1"/>
  <c r="DT14" i="1"/>
  <c r="DT25" i="1"/>
  <c r="DP65" i="1"/>
  <c r="DR52" i="1"/>
  <c r="DT72" i="1"/>
  <c r="DT60" i="1"/>
  <c r="DT48" i="1"/>
  <c r="DT36" i="1"/>
  <c r="DT24" i="1"/>
  <c r="DT12" i="1"/>
  <c r="DR51" i="1"/>
  <c r="DR39" i="1"/>
  <c r="DR27" i="1"/>
  <c r="DR15" i="1"/>
  <c r="DS3" i="1"/>
  <c r="DS61" i="1"/>
  <c r="DS49" i="1"/>
  <c r="DS37" i="1"/>
  <c r="DS25" i="1"/>
  <c r="DS13" i="1"/>
  <c r="DT59" i="1"/>
  <c r="DT47" i="1"/>
  <c r="DT35" i="1"/>
  <c r="DT23" i="1"/>
  <c r="DT11" i="1"/>
  <c r="DT61" i="1"/>
  <c r="DS72" i="1"/>
  <c r="DS60" i="1"/>
  <c r="DS48" i="1"/>
  <c r="DS36" i="1"/>
  <c r="DS24" i="1"/>
  <c r="DS12" i="1"/>
  <c r="DT70" i="1"/>
  <c r="DT58" i="1"/>
  <c r="DT46" i="1"/>
  <c r="DT34" i="1"/>
  <c r="DT22" i="1"/>
  <c r="DT10" i="1"/>
  <c r="DR3" i="1"/>
  <c r="DR61" i="1"/>
  <c r="DR49" i="1"/>
  <c r="DR37" i="1"/>
  <c r="DR25" i="1"/>
  <c r="DR13" i="1"/>
  <c r="DS59" i="1"/>
  <c r="DS47" i="1"/>
  <c r="DS35" i="1"/>
  <c r="DS23" i="1"/>
  <c r="DS11" i="1"/>
  <c r="DT69" i="1"/>
  <c r="DT57" i="1"/>
  <c r="DT45" i="1"/>
  <c r="DT33" i="1"/>
  <c r="DT21" i="1"/>
  <c r="DT9" i="1"/>
  <c r="DT49" i="1"/>
  <c r="DQ72" i="1"/>
  <c r="DR72" i="1"/>
  <c r="DR60" i="1"/>
  <c r="DR48" i="1"/>
  <c r="DR36" i="1"/>
  <c r="DR24" i="1"/>
  <c r="DR12" i="1"/>
  <c r="DS70" i="1"/>
  <c r="DS58" i="1"/>
  <c r="DS46" i="1"/>
  <c r="DS34" i="1"/>
  <c r="DS22" i="1"/>
  <c r="DS10" i="1"/>
  <c r="DT68" i="1"/>
  <c r="DT56" i="1"/>
  <c r="DT44" i="1"/>
  <c r="DT32" i="1"/>
  <c r="DT20" i="1"/>
  <c r="DT8" i="1"/>
  <c r="DR59" i="1"/>
  <c r="DR47" i="1"/>
  <c r="DR35" i="1"/>
  <c r="DR23" i="1"/>
  <c r="DR11" i="1"/>
  <c r="DS69" i="1"/>
  <c r="DS57" i="1"/>
  <c r="DS45" i="1"/>
  <c r="DS33" i="1"/>
  <c r="DS21" i="1"/>
  <c r="DS9" i="1"/>
  <c r="DT67" i="1"/>
  <c r="DT55" i="1"/>
  <c r="DT43" i="1"/>
  <c r="DT31" i="1"/>
  <c r="DT19" i="1"/>
  <c r="DT7" i="1"/>
  <c r="DQ70" i="1"/>
  <c r="DR70" i="1"/>
  <c r="DR58" i="1"/>
  <c r="DR46" i="1"/>
  <c r="DR34" i="1"/>
  <c r="DR22" i="1"/>
  <c r="DR10" i="1"/>
  <c r="DS68" i="1"/>
  <c r="DS56" i="1"/>
  <c r="DS44" i="1"/>
  <c r="DS32" i="1"/>
  <c r="DS20" i="1"/>
  <c r="DS8" i="1"/>
  <c r="DT66" i="1"/>
  <c r="DT54" i="1"/>
  <c r="DT42" i="1"/>
  <c r="DT30" i="1"/>
  <c r="DT18" i="1"/>
  <c r="DT6" i="1"/>
  <c r="DT13" i="1"/>
  <c r="DQ69" i="1"/>
  <c r="DR69" i="1"/>
  <c r="DR57" i="1"/>
  <c r="DR33" i="1"/>
  <c r="DR21" i="1"/>
  <c r="DR9" i="1"/>
  <c r="DS55" i="1"/>
  <c r="DS43" i="1"/>
  <c r="DS31" i="1"/>
  <c r="DS19" i="1"/>
  <c r="DS7" i="1"/>
  <c r="DT53" i="1"/>
  <c r="DT41" i="1"/>
  <c r="DT29" i="1"/>
  <c r="DT17" i="1"/>
  <c r="DT5" i="1"/>
  <c r="DT37" i="1"/>
  <c r="DR45" i="1"/>
  <c r="DQ68" i="1"/>
  <c r="DR56" i="1"/>
  <c r="DR44" i="1"/>
  <c r="DR32" i="1"/>
  <c r="DR20" i="1"/>
  <c r="DR8" i="1"/>
  <c r="DS54" i="1"/>
  <c r="DS42" i="1"/>
  <c r="DS30" i="1"/>
  <c r="DS18" i="1"/>
  <c r="DS6" i="1"/>
  <c r="DT52" i="1"/>
  <c r="DT40" i="1"/>
  <c r="DT28" i="1"/>
  <c r="DT16" i="1"/>
  <c r="DT4" i="1"/>
  <c r="DP3" i="1"/>
  <c r="DP51" i="1"/>
  <c r="DP39" i="1"/>
  <c r="DP27" i="1"/>
  <c r="DP15" i="1"/>
  <c r="DP50" i="1"/>
  <c r="DP38" i="1"/>
  <c r="DP26" i="1"/>
  <c r="DP14" i="1"/>
  <c r="DP61" i="1"/>
  <c r="DP49" i="1"/>
  <c r="DP37" i="1"/>
  <c r="DP25" i="1"/>
  <c r="DP13" i="1"/>
  <c r="DP60" i="1"/>
  <c r="DP48" i="1"/>
  <c r="DP36" i="1"/>
  <c r="DP24" i="1"/>
  <c r="DP12" i="1"/>
  <c r="DP59" i="1"/>
  <c r="DP47" i="1"/>
  <c r="DP35" i="1"/>
  <c r="DP23" i="1"/>
  <c r="DP11" i="1"/>
  <c r="DP58" i="1"/>
  <c r="DP46" i="1"/>
  <c r="DP34" i="1"/>
  <c r="DP22" i="1"/>
  <c r="DP10" i="1"/>
  <c r="DP57" i="1"/>
  <c r="DP45" i="1"/>
  <c r="DP33" i="1"/>
  <c r="DP21" i="1"/>
  <c r="DP9" i="1"/>
  <c r="DP56" i="1"/>
  <c r="DP44" i="1"/>
  <c r="DP32" i="1"/>
  <c r="DP20" i="1"/>
  <c r="DP8" i="1"/>
  <c r="DP55" i="1"/>
  <c r="DP43" i="1"/>
  <c r="DP31" i="1"/>
  <c r="DP19" i="1"/>
  <c r="DP7" i="1"/>
  <c r="DP54" i="1"/>
  <c r="DP42" i="1"/>
  <c r="DP30" i="1"/>
  <c r="DP18" i="1"/>
  <c r="DP6" i="1"/>
  <c r="DP53" i="1"/>
  <c r="DP41" i="1"/>
  <c r="DP29" i="1"/>
  <c r="DP17" i="1"/>
  <c r="DP5" i="1"/>
  <c r="DP52" i="1"/>
  <c r="DP40" i="1"/>
  <c r="DP28" i="1"/>
  <c r="DP16" i="1"/>
  <c r="DP4" i="1"/>
</calcChain>
</file>

<file path=xl/sharedStrings.xml><?xml version="1.0" encoding="utf-8"?>
<sst xmlns="http://schemas.openxmlformats.org/spreadsheetml/2006/main" count="16" uniqueCount="14">
  <si>
    <t>z</t>
  </si>
  <si>
    <t>z0</t>
  </si>
  <si>
    <t>z1</t>
  </si>
  <si>
    <t>T</t>
  </si>
  <si>
    <t>P</t>
  </si>
  <si>
    <t>km</t>
  </si>
  <si>
    <t>K</t>
  </si>
  <si>
    <t>Pa</t>
  </si>
  <si>
    <t>H</t>
  </si>
  <si>
    <t>H2</t>
  </si>
  <si>
    <t>CH4</t>
  </si>
  <si>
    <t>CO</t>
  </si>
  <si>
    <t>CO2</t>
  </si>
  <si>
    <t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</si>
</sst>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Sheet1!$D$3:$D$72</c:f>
              <c:numCache>
                <c:formatCode>General</c:formatCode>
                <c:ptCount val="70"/>
                <c:pt idx="0">
                  <c:v>1788.8793519999999</c:v>
                </c:pt>
                <c:pt idx="1">
                  <c:v>1751.177966</c:v>
                </c:pt>
                <c:pt idx="2">
                  <c:v>1720.546237</c:v>
                </c:pt>
                <c:pt idx="3">
                  <c:v>1696.020951</c:v>
                </c:pt>
                <c:pt idx="4">
                  <c:v>1676.4755190000001</c:v>
                </c:pt>
                <c:pt idx="5">
                  <c:v>1661.1441560000001</c:v>
                </c:pt>
                <c:pt idx="6">
                  <c:v>1649.3484229999999</c:v>
                </c:pt>
                <c:pt idx="7">
                  <c:v>1640.427682</c:v>
                </c:pt>
                <c:pt idx="8">
                  <c:v>1633.7613389999999</c:v>
                </c:pt>
                <c:pt idx="9">
                  <c:v>1628.8227919999999</c:v>
                </c:pt>
                <c:pt idx="10">
                  <c:v>1625.1842630000001</c:v>
                </c:pt>
                <c:pt idx="11">
                  <c:v>1622.5054070000001</c:v>
                </c:pt>
                <c:pt idx="12">
                  <c:v>1620.5312200000001</c:v>
                </c:pt>
                <c:pt idx="13">
                  <c:v>1619.0772999999999</c:v>
                </c:pt>
                <c:pt idx="14">
                  <c:v>1617.993371</c:v>
                </c:pt>
                <c:pt idx="15">
                  <c:v>1617.062782</c:v>
                </c:pt>
                <c:pt idx="16">
                  <c:v>1615.742146</c:v>
                </c:pt>
                <c:pt idx="17">
                  <c:v>1612.8117440000001</c:v>
                </c:pt>
                <c:pt idx="18">
                  <c:v>1606.3933360000001</c:v>
                </c:pt>
                <c:pt idx="19">
                  <c:v>1594.696054</c:v>
                </c:pt>
                <c:pt idx="20">
                  <c:v>1576.878708</c:v>
                </c:pt>
                <c:pt idx="21">
                  <c:v>1553.292031</c:v>
                </c:pt>
                <c:pt idx="22">
                  <c:v>1525.512561</c:v>
                </c:pt>
                <c:pt idx="23">
                  <c:v>1495.964749</c:v>
                </c:pt>
                <c:pt idx="24">
                  <c:v>1466.7448509999999</c:v>
                </c:pt>
                <c:pt idx="25">
                  <c:v>1438.813768</c:v>
                </c:pt>
                <c:pt idx="26">
                  <c:v>1412.160106</c:v>
                </c:pt>
                <c:pt idx="27">
                  <c:v>1386.439433</c:v>
                </c:pt>
                <c:pt idx="28">
                  <c:v>1361.554304</c:v>
                </c:pt>
                <c:pt idx="29">
                  <c:v>1337.681832</c:v>
                </c:pt>
                <c:pt idx="30">
                  <c:v>1314.1206870000001</c:v>
                </c:pt>
                <c:pt idx="31">
                  <c:v>1289.2691159999999</c:v>
                </c:pt>
                <c:pt idx="32">
                  <c:v>1261.9015469999999</c:v>
                </c:pt>
                <c:pt idx="33">
                  <c:v>1231.622398</c:v>
                </c:pt>
                <c:pt idx="34">
                  <c:v>1198.5010010000001</c:v>
                </c:pt>
                <c:pt idx="35">
                  <c:v>1163.5045190000001</c:v>
                </c:pt>
                <c:pt idx="36">
                  <c:v>1128.5085300000001</c:v>
                </c:pt>
                <c:pt idx="37">
                  <c:v>1094.6801499999999</c:v>
                </c:pt>
                <c:pt idx="38">
                  <c:v>1062.400371</c:v>
                </c:pt>
                <c:pt idx="39">
                  <c:v>1032.766165</c:v>
                </c:pt>
                <c:pt idx="40">
                  <c:v>1006.304603</c:v>
                </c:pt>
                <c:pt idx="41">
                  <c:v>982.17872799999998</c:v>
                </c:pt>
                <c:pt idx="42">
                  <c:v>960.567767</c:v>
                </c:pt>
                <c:pt idx="43">
                  <c:v>941.43831699999998</c:v>
                </c:pt>
                <c:pt idx="44">
                  <c:v>923.78513799999996</c:v>
                </c:pt>
                <c:pt idx="45">
                  <c:v>907.48577799999998</c:v>
                </c:pt>
                <c:pt idx="46">
                  <c:v>892.78329199999996</c:v>
                </c:pt>
                <c:pt idx="47">
                  <c:v>880.01898700000004</c:v>
                </c:pt>
                <c:pt idx="48">
                  <c:v>869.386796</c:v>
                </c:pt>
                <c:pt idx="49">
                  <c:v>860.40379700000005</c:v>
                </c:pt>
                <c:pt idx="50">
                  <c:v>852.45917999999995</c:v>
                </c:pt>
                <c:pt idx="51">
                  <c:v>845.202631</c:v>
                </c:pt>
                <c:pt idx="52">
                  <c:v>838.73004900000001</c:v>
                </c:pt>
                <c:pt idx="53">
                  <c:v>833.43310599999995</c:v>
                </c:pt>
                <c:pt idx="54">
                  <c:v>829.58871699999997</c:v>
                </c:pt>
                <c:pt idx="55">
                  <c:v>827.72514699999999</c:v>
                </c:pt>
                <c:pt idx="56">
                  <c:v>829.04970100000003</c:v>
                </c:pt>
                <c:pt idx="57">
                  <c:v>834.92594899999995</c:v>
                </c:pt>
                <c:pt idx="58">
                  <c:v>850.27494300000001</c:v>
                </c:pt>
                <c:pt idx="59">
                  <c:v>864.88635199999999</c:v>
                </c:pt>
                <c:pt idx="60">
                  <c:v>868.38458600000001</c:v>
                </c:pt>
                <c:pt idx="61">
                  <c:v>868.38458600000001</c:v>
                </c:pt>
                <c:pt idx="62">
                  <c:v>868.38458600000001</c:v>
                </c:pt>
                <c:pt idx="63">
                  <c:v>868.38458600000001</c:v>
                </c:pt>
                <c:pt idx="64">
                  <c:v>868.38458600000001</c:v>
                </c:pt>
                <c:pt idx="65">
                  <c:v>868.38458600000001</c:v>
                </c:pt>
                <c:pt idx="66">
                  <c:v>868.38458600000001</c:v>
                </c:pt>
                <c:pt idx="67">
                  <c:v>868.38458600000001</c:v>
                </c:pt>
                <c:pt idx="68">
                  <c:v>868.38458600000001</c:v>
                </c:pt>
                <c:pt idx="69">
                  <c:v>868.38458600000001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C9-BB45-B07B-B17BB3254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748992"/>
        <c:axId val="1226861328"/>
      </c:scatterChart>
      <c:valAx>
        <c:axId val="12147489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61328"/>
        <c:crosses val="autoZero"/>
        <c:crossBetween val="midCat"/>
      </c:valAx>
      <c:valAx>
        <c:axId val="1226861328"/>
        <c:scaling>
          <c:logBase val="10"/>
          <c:orientation val="maxMin"/>
          <c:min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4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Sheet1!$DP$3:$DP$72</c:f>
              <c:numCache>
                <c:formatCode>0.00E+00</c:formatCode>
                <c:ptCount val="70"/>
                <c:pt idx="0">
                  <c:v>3.7278724684228239E-5</c:v>
                </c:pt>
                <c:pt idx="1">
                  <c:v>2.9583972939846901E-5</c:v>
                </c:pt>
                <c:pt idx="2">
                  <c:v>2.4986809999335218E-5</c:v>
                </c:pt>
                <c:pt idx="3">
                  <c:v>2.2180068005725381E-5</c:v>
                </c:pt>
                <c:pt idx="4">
                  <c:v>2.0558834017096008E-5</c:v>
                </c:pt>
                <c:pt idx="5">
                  <c:v>1.97994920183415E-5</c:v>
                </c:pt>
                <c:pt idx="6">
                  <c:v>1.9716911764765185E-5</c:v>
                </c:pt>
                <c:pt idx="7">
                  <c:v>2.0193304652563015E-5</c:v>
                </c:pt>
                <c:pt idx="8">
                  <c:v>2.1151852976511798E-5</c:v>
                </c:pt>
                <c:pt idx="9">
                  <c:v>2.2547849200250666E-5</c:v>
                </c:pt>
                <c:pt idx="10">
                  <c:v>2.4359204129451723E-5</c:v>
                </c:pt>
                <c:pt idx="11">
                  <c:v>2.6579227246145737E-5</c:v>
                </c:pt>
                <c:pt idx="12">
                  <c:v>2.9215662504349605E-5</c:v>
                </c:pt>
                <c:pt idx="13">
                  <c:v>3.2289367086071171E-5</c:v>
                </c:pt>
                <c:pt idx="14">
                  <c:v>3.5825806292883266E-5</c:v>
                </c:pt>
                <c:pt idx="15">
                  <c:v>3.9815083213202487E-5</c:v>
                </c:pt>
                <c:pt idx="16">
                  <c:v>4.40727327581536E-5</c:v>
                </c:pt>
                <c:pt idx="17">
                  <c:v>4.7980677345094115E-5</c:v>
                </c:pt>
                <c:pt idx="18">
                  <c:v>5.0370143939344561E-5</c:v>
                </c:pt>
                <c:pt idx="19">
                  <c:v>5.0004669775101101E-5</c:v>
                </c:pt>
                <c:pt idx="20">
                  <c:v>4.6426548923341574E-5</c:v>
                </c:pt>
                <c:pt idx="21">
                  <c:v>4.0298853091938961E-5</c:v>
                </c:pt>
                <c:pt idx="22">
                  <c:v>3.3118907099415225E-5</c:v>
                </c:pt>
                <c:pt idx="23">
                  <c:v>2.6394662173501664E-5</c:v>
                </c:pt>
                <c:pt idx="24">
                  <c:v>2.0890737232337547E-5</c:v>
                </c:pt>
                <c:pt idx="25">
                  <c:v>1.6612272185798449E-5</c:v>
                </c:pt>
                <c:pt idx="26">
                  <c:v>1.3284722646599822E-5</c:v>
                </c:pt>
                <c:pt idx="27">
                  <c:v>1.0649385167798269E-5</c:v>
                </c:pt>
                <c:pt idx="28">
                  <c:v>8.5517431953762934E-6</c:v>
                </c:pt>
                <c:pt idx="29">
                  <c:v>6.900464376956333E-6</c:v>
                </c:pt>
                <c:pt idx="30">
                  <c:v>5.5407193713409894E-6</c:v>
                </c:pt>
                <c:pt idx="31">
                  <c:v>4.3225658353346777E-6</c:v>
                </c:pt>
                <c:pt idx="32">
                  <c:v>3.2236461797950974E-6</c:v>
                </c:pt>
                <c:pt idx="33">
                  <c:v>2.3218670402571741E-6</c:v>
                </c:pt>
                <c:pt idx="34">
                  <c:v>1.704963052696335E-6</c:v>
                </c:pt>
                <c:pt idx="35">
                  <c:v>1.4068802214787241E-6</c:v>
                </c:pt>
                <c:pt idx="36">
                  <c:v>1.4219921926569532E-6</c:v>
                </c:pt>
                <c:pt idx="37">
                  <c:v>1.7873543982446756E-6</c:v>
                </c:pt>
                <c:pt idx="38">
                  <c:v>2.6451564164383061E-6</c:v>
                </c:pt>
                <c:pt idx="39">
                  <c:v>4.3029199640341116E-6</c:v>
                </c:pt>
                <c:pt idx="40">
                  <c:v>7.3494468074668511E-6</c:v>
                </c:pt>
                <c:pt idx="41">
                  <c:v>1.2850825506542142E-5</c:v>
                </c:pt>
                <c:pt idx="42">
                  <c:v>2.2702905153261236E-5</c:v>
                </c:pt>
                <c:pt idx="43">
                  <c:v>4.0238373102220746E-5</c:v>
                </c:pt>
                <c:pt idx="44">
                  <c:v>7.117900899090545E-5</c:v>
                </c:pt>
                <c:pt idx="45">
                  <c:v>1.2505572879254319E-4</c:v>
                </c:pt>
                <c:pt idx="46">
                  <c:v>2.1678537233414587E-4</c:v>
                </c:pt>
                <c:pt idx="47">
                  <c:v>3.6807958419698609E-4</c:v>
                </c:pt>
                <c:pt idx="48">
                  <c:v>6.0916837863460923E-4</c:v>
                </c:pt>
                <c:pt idx="49">
                  <c:v>9.812485493002033E-4</c:v>
                </c:pt>
                <c:pt idx="50">
                  <c:v>1.5405231159858713E-3</c:v>
                </c:pt>
                <c:pt idx="51">
                  <c:v>2.3647350476840821E-3</c:v>
                </c:pt>
                <c:pt idx="52">
                  <c:v>3.5633820327668842E-3</c:v>
                </c:pt>
                <c:pt idx="53">
                  <c:v>5.2927854473237279E-3</c:v>
                </c:pt>
                <c:pt idx="54">
                  <c:v>7.7775242895834597E-3</c:v>
                </c:pt>
                <c:pt idx="55">
                  <c:v>1.1340170834232296E-2</c:v>
                </c:pt>
                <c:pt idx="56">
                  <c:v>1.644926763170642E-2</c:v>
                </c:pt>
                <c:pt idx="57">
                  <c:v>2.3785449044892815E-2</c:v>
                </c:pt>
                <c:pt idx="58">
                  <c:v>3.4323062952949956E-2</c:v>
                </c:pt>
                <c:pt idx="59">
                  <c:v>4.9540237178750952E-2</c:v>
                </c:pt>
                <c:pt idx="60">
                  <c:v>7.0815715001423099E-2</c:v>
                </c:pt>
                <c:pt idx="61">
                  <c:v>0.100022329382514</c:v>
                </c:pt>
                <c:pt idx="62">
                  <c:v>0.1395654921345317</c:v>
                </c:pt>
                <c:pt idx="63">
                  <c:v>0.19197103902642584</c:v>
                </c:pt>
                <c:pt idx="64">
                  <c:v>0.25899316336118028</c:v>
                </c:pt>
                <c:pt idx="65">
                  <c:v>0.33986800722645993</c:v>
                </c:pt>
                <c:pt idx="66">
                  <c:v>0.42977853925403009</c:v>
                </c:pt>
                <c:pt idx="67">
                  <c:v>0.52019836177648071</c:v>
                </c:pt>
                <c:pt idx="68">
                  <c:v>0.59895910332590152</c:v>
                </c:pt>
                <c:pt idx="69">
                  <c:v>0.64826134293933768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81-734F-9A1F-8031C50A8D7F}"/>
            </c:ext>
          </c:extLst>
        </c:ser>
        <c:ser>
          <c:idx val="1"/>
          <c:order val="1"/>
          <c:tx>
            <c:v>H2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Sheet1!$DQ$3:$DQ$72</c:f>
              <c:numCache>
                <c:formatCode>0.00E+00</c:formatCode>
                <c:ptCount val="70"/>
                <c:pt idx="0">
                  <c:v>0.98693511229612363</c:v>
                </c:pt>
                <c:pt idx="1">
                  <c:v>0.98696448832455619</c:v>
                </c:pt>
                <c:pt idx="2">
                  <c:v>0.9870079625800251</c:v>
                </c:pt>
                <c:pt idx="3">
                  <c:v>0.9870567035295158</c:v>
                </c:pt>
                <c:pt idx="4">
                  <c:v>0.98710498367666977</c:v>
                </c:pt>
                <c:pt idx="5">
                  <c:v>0.98714871266501558</c:v>
                </c:pt>
                <c:pt idx="6">
                  <c:v>0.98718533845940437</c:v>
                </c:pt>
                <c:pt idx="7">
                  <c:v>0.98721389202686072</c:v>
                </c:pt>
                <c:pt idx="8">
                  <c:v>0.98723474366729247</c:v>
                </c:pt>
                <c:pt idx="9">
                  <c:v>0.98724902119510838</c:v>
                </c:pt>
                <c:pt idx="10">
                  <c:v>0.98725809913252993</c:v>
                </c:pt>
                <c:pt idx="11">
                  <c:v>0.98726325136014981</c:v>
                </c:pt>
                <c:pt idx="12">
                  <c:v>0.98726552215077623</c:v>
                </c:pt>
                <c:pt idx="13">
                  <c:v>0.98726566892626211</c:v>
                </c:pt>
                <c:pt idx="14">
                  <c:v>0.98726422898783617</c:v>
                </c:pt>
                <c:pt idx="15">
                  <c:v>0.98726160204170499</c:v>
                </c:pt>
                <c:pt idx="16">
                  <c:v>0.98725823228392595</c:v>
                </c:pt>
                <c:pt idx="17">
                  <c:v>0.98725490748646405</c:v>
                </c:pt>
                <c:pt idx="18">
                  <c:v>0.98725293124978686</c:v>
                </c:pt>
                <c:pt idx="19">
                  <c:v>0.98725363545927569</c:v>
                </c:pt>
                <c:pt idx="20">
                  <c:v>0.98725755026603723</c:v>
                </c:pt>
                <c:pt idx="21">
                  <c:v>0.98726405084305902</c:v>
                </c:pt>
                <c:pt idx="22">
                  <c:v>0.98727166567328728</c:v>
                </c:pt>
                <c:pt idx="23">
                  <c:v>0.98727887532274039</c:v>
                </c:pt>
                <c:pt idx="24">
                  <c:v>0.98728492053083228</c:v>
                </c:pt>
                <c:pt idx="25">
                  <c:v>0.98728977201427448</c:v>
                </c:pt>
                <c:pt idx="26">
                  <c:v>0.98729369096128328</c:v>
                </c:pt>
                <c:pt idx="27">
                  <c:v>0.98729696025017388</c:v>
                </c:pt>
                <c:pt idx="28">
                  <c:v>0.98729973636325752</c:v>
                </c:pt>
                <c:pt idx="29">
                  <c:v>0.98730210038365973</c:v>
                </c:pt>
                <c:pt idx="30">
                  <c:v>0.98730422735729351</c:v>
                </c:pt>
                <c:pt idx="31">
                  <c:v>0.98730634598331701</c:v>
                </c:pt>
                <c:pt idx="32">
                  <c:v>0.98730855515685612</c:v>
                </c:pt>
                <c:pt idx="33">
                  <c:v>0.98731083538534314</c:v>
                </c:pt>
                <c:pt idx="34">
                  <c:v>0.98731317194844848</c:v>
                </c:pt>
                <c:pt idx="35">
                  <c:v>0.98731560064398949</c:v>
                </c:pt>
                <c:pt idx="36">
                  <c:v>0.98731803917803507</c:v>
                </c:pt>
                <c:pt idx="37">
                  <c:v>0.9873204493326565</c:v>
                </c:pt>
                <c:pt idx="38">
                  <c:v>0.98732271389195136</c:v>
                </c:pt>
                <c:pt idx="39">
                  <c:v>0.9873244475904005</c:v>
                </c:pt>
                <c:pt idx="40">
                  <c:v>0.98732502436726377</c:v>
                </c:pt>
                <c:pt idx="41">
                  <c:v>0.98732339004897718</c:v>
                </c:pt>
                <c:pt idx="42">
                  <c:v>0.98731760075588215</c:v>
                </c:pt>
                <c:pt idx="43">
                  <c:v>0.9873043027288404</c:v>
                </c:pt>
                <c:pt idx="44">
                  <c:v>0.98727780609160198</c:v>
                </c:pt>
                <c:pt idx="45">
                  <c:v>0.98722860149086611</c:v>
                </c:pt>
                <c:pt idx="46">
                  <c:v>0.98714180277300223</c:v>
                </c:pt>
                <c:pt idx="47">
                  <c:v>0.98699572378074274</c:v>
                </c:pt>
                <c:pt idx="48">
                  <c:v>0.98676020879527859</c:v>
                </c:pt>
                <c:pt idx="49">
                  <c:v>0.98639428721224109</c:v>
                </c:pt>
                <c:pt idx="50">
                  <c:v>0.98584211714181547</c:v>
                </c:pt>
                <c:pt idx="51">
                  <c:v>0.98502647020933864</c:v>
                </c:pt>
                <c:pt idx="52">
                  <c:v>0.98383852193572818</c:v>
                </c:pt>
                <c:pt idx="53">
                  <c:v>0.98212289196720204</c:v>
                </c:pt>
                <c:pt idx="54">
                  <c:v>0.97965637296705288</c:v>
                </c:pt>
                <c:pt idx="55">
                  <c:v>0.97611834117419916</c:v>
                </c:pt>
                <c:pt idx="56">
                  <c:v>0.97104310719443099</c:v>
                </c:pt>
                <c:pt idx="57">
                  <c:v>0.96375424554802513</c:v>
                </c:pt>
                <c:pt idx="58">
                  <c:v>0.95328363904704072</c:v>
                </c:pt>
                <c:pt idx="59">
                  <c:v>0.93816377155206954</c:v>
                </c:pt>
                <c:pt idx="60">
                  <c:v>0.91702686833598557</c:v>
                </c:pt>
                <c:pt idx="61">
                  <c:v>0.88801360523603379</c:v>
                </c:pt>
                <c:pt idx="62">
                  <c:v>0.84873585696307019</c:v>
                </c:pt>
                <c:pt idx="63">
                  <c:v>0.7966867882342471</c:v>
                </c:pt>
                <c:pt idx="64">
                  <c:v>0.73012658664172325</c:v>
                </c:pt>
                <c:pt idx="65">
                  <c:v>0.64981589321981059</c:v>
                </c:pt>
                <c:pt idx="66">
                  <c:v>0.56053969097222944</c:v>
                </c:pt>
                <c:pt idx="67">
                  <c:v>0.47077119998575928</c:v>
                </c:pt>
                <c:pt idx="68">
                  <c:v>0.3926344343793356</c:v>
                </c:pt>
                <c:pt idx="69">
                  <c:v>0.34386682292925386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81-734F-9A1F-8031C50A8D7F}"/>
            </c:ext>
          </c:extLst>
        </c:ser>
        <c:ser>
          <c:idx val="2"/>
          <c:order val="2"/>
          <c:tx>
            <c:v>CH4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Sheet1!$DR$3:$DR$72</c:f>
              <c:numCache>
                <c:formatCode>0.00E+00</c:formatCode>
                <c:ptCount val="70"/>
                <c:pt idx="0">
                  <c:v>3.2067999891571472E-4</c:v>
                </c:pt>
                <c:pt idx="1">
                  <c:v>2.997616092137464E-4</c:v>
                </c:pt>
                <c:pt idx="2">
                  <c:v>2.6221083148904594E-4</c:v>
                </c:pt>
                <c:pt idx="3">
                  <c:v>2.1775470908547633E-4</c:v>
                </c:pt>
                <c:pt idx="4">
                  <c:v>1.7256642384400566E-4</c:v>
                </c:pt>
                <c:pt idx="5">
                  <c:v>1.309199332581056E-4</c:v>
                </c:pt>
                <c:pt idx="6">
                  <c:v>9.5504835038409742E-5</c:v>
                </c:pt>
                <c:pt idx="7">
                  <c:v>6.7368649422789846E-5</c:v>
                </c:pt>
                <c:pt idx="8">
                  <c:v>4.6237974448837767E-5</c:v>
                </c:pt>
                <c:pt idx="9">
                  <c:v>3.1058671753241838E-5</c:v>
                </c:pt>
                <c:pt idx="10">
                  <c:v>2.0521495994788365E-5</c:v>
                </c:pt>
                <c:pt idx="11">
                  <c:v>1.3393456390251029E-5</c:v>
                </c:pt>
                <c:pt idx="12">
                  <c:v>8.6623497195082533E-6</c:v>
                </c:pt>
                <c:pt idx="13">
                  <c:v>5.5651017608455921E-6</c:v>
                </c:pt>
                <c:pt idx="14">
                  <c:v>3.5583133309884626E-6</c:v>
                </c:pt>
                <c:pt idx="15">
                  <c:v>2.2701461523204417E-6</c:v>
                </c:pt>
                <c:pt idx="16">
                  <c:v>1.4535502332911345E-6</c:v>
                </c:pt>
                <c:pt idx="17">
                  <c:v>9.4595698321236953E-7</c:v>
                </c:pt>
                <c:pt idx="18">
                  <c:v>6.3805213435586764E-7</c:v>
                </c:pt>
                <c:pt idx="19">
                  <c:v>4.5481329705101762E-7</c:v>
                </c:pt>
                <c:pt idx="20">
                  <c:v>3.4644125731336215E-7</c:v>
                </c:pt>
                <c:pt idx="21">
                  <c:v>2.8191140481346394E-7</c:v>
                </c:pt>
                <c:pt idx="22">
                  <c:v>2.4213249990417482E-7</c:v>
                </c:pt>
                <c:pt idx="23">
                  <c:v>2.159080360823013E-7</c:v>
                </c:pt>
                <c:pt idx="24">
                  <c:v>1.9803598250519727E-7</c:v>
                </c:pt>
                <c:pt idx="25">
                  <c:v>1.8627821069449697E-7</c:v>
                </c:pt>
                <c:pt idx="26">
                  <c:v>1.790715291891605E-7</c:v>
                </c:pt>
                <c:pt idx="27">
                  <c:v>1.7496287554585754E-7</c:v>
                </c:pt>
                <c:pt idx="28">
                  <c:v>1.7275602764988117E-7</c:v>
                </c:pt>
                <c:pt idx="29">
                  <c:v>1.7163023580133373E-7</c:v>
                </c:pt>
                <c:pt idx="30">
                  <c:v>1.7109555955683867E-7</c:v>
                </c:pt>
                <c:pt idx="31">
                  <c:v>1.7086855107663521E-7</c:v>
                </c:pt>
                <c:pt idx="32">
                  <c:v>1.7078460863607191E-7</c:v>
                </c:pt>
                <c:pt idx="33">
                  <c:v>1.7075703776399166E-7</c:v>
                </c:pt>
                <c:pt idx="34">
                  <c:v>1.7074707063127809E-7</c:v>
                </c:pt>
                <c:pt idx="35">
                  <c:v>1.707405251742409E-7</c:v>
                </c:pt>
                <c:pt idx="36">
                  <c:v>1.7073303312928421E-7</c:v>
                </c:pt>
                <c:pt idx="37">
                  <c:v>1.7072248250714204E-7</c:v>
                </c:pt>
                <c:pt idx="38">
                  <c:v>1.7070741996454625E-7</c:v>
                </c:pt>
                <c:pt idx="39">
                  <c:v>1.7068549397547695E-7</c:v>
                </c:pt>
                <c:pt idx="40">
                  <c:v>1.7065273715201773E-7</c:v>
                </c:pt>
                <c:pt idx="41">
                  <c:v>1.706027822515621E-7</c:v>
                </c:pt>
                <c:pt idx="42">
                  <c:v>1.705255555196149E-7</c:v>
                </c:pt>
                <c:pt idx="43">
                  <c:v>1.7040370799624872E-7</c:v>
                </c:pt>
                <c:pt idx="44">
                  <c:v>1.702101625444391E-7</c:v>
                </c:pt>
                <c:pt idx="45">
                  <c:v>1.6990157244908135E-7</c:v>
                </c:pt>
                <c:pt idx="46">
                  <c:v>1.6941244197054686E-7</c:v>
                </c:pt>
                <c:pt idx="47">
                  <c:v>1.686493765091028E-7</c:v>
                </c:pt>
                <c:pt idx="48">
                  <c:v>1.6748433559535732E-7</c:v>
                </c:pt>
                <c:pt idx="49">
                  <c:v>1.6574899915558125E-7</c:v>
                </c:pt>
                <c:pt idx="50">
                  <c:v>1.6322719499417631E-7</c:v>
                </c:pt>
                <c:pt idx="51">
                  <c:v>1.5963463711997792E-7</c:v>
                </c:pt>
                <c:pt idx="52">
                  <c:v>1.5453696224664665E-7</c:v>
                </c:pt>
                <c:pt idx="53">
                  <c:v>1.4701948839550732E-7</c:v>
                </c:pt>
                <c:pt idx="54">
                  <c:v>1.3458602550399553E-7</c:v>
                </c:pt>
                <c:pt idx="55">
                  <c:v>1.1135647296871816E-7</c:v>
                </c:pt>
                <c:pt idx="56">
                  <c:v>7.3453559115374747E-8</c:v>
                </c:pt>
                <c:pt idx="57">
                  <c:v>3.5294714794133153E-8</c:v>
                </c:pt>
                <c:pt idx="58">
                  <c:v>1.3451992025419771E-8</c:v>
                </c:pt>
                <c:pt idx="59">
                  <c:v>4.3394035307390742E-9</c:v>
                </c:pt>
                <c:pt idx="60">
                  <c:v>1.2597650340383562E-9</c:v>
                </c:pt>
                <c:pt idx="61">
                  <c:v>3.6604712488056795E-10</c:v>
                </c:pt>
                <c:pt idx="62">
                  <c:v>1.1100616904330239E-10</c:v>
                </c:pt>
                <c:pt idx="63">
                  <c:v>3.5108430590383813E-11</c:v>
                </c:pt>
                <c:pt idx="64">
                  <c:v>1.1416864532831348E-11</c:v>
                </c:pt>
                <c:pt idx="65">
                  <c:v>3.7084790440126585E-12</c:v>
                </c:pt>
                <c:pt idx="66">
                  <c:v>1.1713812803436776E-12</c:v>
                </c:pt>
                <c:pt idx="67">
                  <c:v>3.8563925192898113E-13</c:v>
                </c:pt>
                <c:pt idx="68">
                  <c:v>1.9563177965642258E-13</c:v>
                </c:pt>
                <c:pt idx="69">
                  <c:v>3.2322424759157751E-13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81-734F-9A1F-8031C50A8D7F}"/>
            </c:ext>
          </c:extLst>
        </c:ser>
        <c:ser>
          <c:idx val="3"/>
          <c:order val="3"/>
          <c:tx>
            <c:v>CO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Sheet1!$DS$3:$DS$72</c:f>
              <c:numCache>
                <c:formatCode>0.00E+00</c:formatCode>
                <c:ptCount val="70"/>
                <c:pt idx="0">
                  <c:v>2.5765304026281409E-3</c:v>
                </c:pt>
                <c:pt idx="1">
                  <c:v>2.5972521732860782E-3</c:v>
                </c:pt>
                <c:pt idx="2">
                  <c:v>2.6343401818348881E-3</c:v>
                </c:pt>
                <c:pt idx="3">
                  <c:v>2.6782885217343853E-3</c:v>
                </c:pt>
                <c:pt idx="4">
                  <c:v>2.7229756399345766E-3</c:v>
                </c:pt>
                <c:pt idx="5">
                  <c:v>2.7641689457556882E-3</c:v>
                </c:pt>
                <c:pt idx="6">
                  <c:v>2.7992018492078333E-3</c:v>
                </c:pt>
                <c:pt idx="7">
                  <c:v>2.8270338891867885E-3</c:v>
                </c:pt>
                <c:pt idx="8">
                  <c:v>2.8479333417737989E-3</c:v>
                </c:pt>
                <c:pt idx="9">
                  <c:v>2.8629426966780098E-3</c:v>
                </c:pt>
                <c:pt idx="10">
                  <c:v>2.8733593469079427E-3</c:v>
                </c:pt>
                <c:pt idx="11">
                  <c:v>2.880402264608675E-3</c:v>
                </c:pt>
                <c:pt idx="12">
                  <c:v>2.8850728331458247E-3</c:v>
                </c:pt>
                <c:pt idx="13">
                  <c:v>2.8881274052973173E-3</c:v>
                </c:pt>
                <c:pt idx="14">
                  <c:v>2.8901031441143535E-3</c:v>
                </c:pt>
                <c:pt idx="15">
                  <c:v>2.8913657456409391E-3</c:v>
                </c:pt>
                <c:pt idx="16">
                  <c:v>2.8921545752494207E-3</c:v>
                </c:pt>
                <c:pt idx="17">
                  <c:v>2.8926170610736471E-3</c:v>
                </c:pt>
                <c:pt idx="18">
                  <c:v>2.8928397719469126E-3</c:v>
                </c:pt>
                <c:pt idx="19">
                  <c:v>2.8928702704491696E-3</c:v>
                </c:pt>
                <c:pt idx="20">
                  <c:v>2.8927362544491899E-3</c:v>
                </c:pt>
                <c:pt idx="21">
                  <c:v>2.8924635164617003E-3</c:v>
                </c:pt>
                <c:pt idx="22">
                  <c:v>2.8920773572967858E-3</c:v>
                </c:pt>
                <c:pt idx="23">
                  <c:v>2.8916078829316501E-3</c:v>
                </c:pt>
                <c:pt idx="24">
                  <c:v>2.8910752412782503E-3</c:v>
                </c:pt>
                <c:pt idx="25">
                  <c:v>2.8905092674212994E-3</c:v>
                </c:pt>
                <c:pt idx="26">
                  <c:v>2.8899148463005274E-3</c:v>
                </c:pt>
                <c:pt idx="27">
                  <c:v>2.8892756897848791E-3</c:v>
                </c:pt>
                <c:pt idx="28">
                  <c:v>2.888591272642729E-3</c:v>
                </c:pt>
                <c:pt idx="29">
                  <c:v>2.8878724496000019E-3</c:v>
                </c:pt>
                <c:pt idx="30">
                  <c:v>2.8871002290711267E-3</c:v>
                </c:pt>
                <c:pt idx="31">
                  <c:v>2.8861970503782971E-3</c:v>
                </c:pt>
                <c:pt idx="32">
                  <c:v>2.885079631445036E-3</c:v>
                </c:pt>
                <c:pt idx="33">
                  <c:v>2.8836937377629411E-3</c:v>
                </c:pt>
                <c:pt idx="34">
                  <c:v>2.8819683690698736E-3</c:v>
                </c:pt>
                <c:pt idx="35">
                  <c:v>2.8798413411904237E-3</c:v>
                </c:pt>
                <c:pt idx="36">
                  <c:v>2.8773883005094193E-3</c:v>
                </c:pt>
                <c:pt idx="37">
                  <c:v>2.8746140716159321E-3</c:v>
                </c:pt>
                <c:pt idx="38">
                  <c:v>2.871497589718885E-3</c:v>
                </c:pt>
                <c:pt idx="39">
                  <c:v>2.8681122020420471E-3</c:v>
                </c:pt>
                <c:pt idx="40">
                  <c:v>2.864503034817762E-3</c:v>
                </c:pt>
                <c:pt idx="41">
                  <c:v>2.8606643771478374E-3</c:v>
                </c:pt>
                <c:pt idx="42">
                  <c:v>2.8566489456436374E-3</c:v>
                </c:pt>
                <c:pt idx="43">
                  <c:v>2.8524978682278562E-3</c:v>
                </c:pt>
                <c:pt idx="44">
                  <c:v>2.8482083351013699E-3</c:v>
                </c:pt>
                <c:pt idx="45">
                  <c:v>2.8437979371307327E-3</c:v>
                </c:pt>
                <c:pt idx="46">
                  <c:v>2.8393156762408071E-3</c:v>
                </c:pt>
                <c:pt idx="47">
                  <c:v>2.8348444911867614E-3</c:v>
                </c:pt>
                <c:pt idx="48">
                  <c:v>2.8304521480532981E-3</c:v>
                </c:pt>
                <c:pt idx="49">
                  <c:v>2.8261188453229261E-3</c:v>
                </c:pt>
                <c:pt idx="50">
                  <c:v>2.821753616596416E-3</c:v>
                </c:pt>
                <c:pt idx="51">
                  <c:v>2.8172301285755235E-3</c:v>
                </c:pt>
                <c:pt idx="52">
                  <c:v>2.8124077793387583E-3</c:v>
                </c:pt>
                <c:pt idx="53">
                  <c:v>2.8071083894170771E-3</c:v>
                </c:pt>
                <c:pt idx="54">
                  <c:v>2.8010669885292819E-3</c:v>
                </c:pt>
                <c:pt idx="55">
                  <c:v>2.7939081806986456E-3</c:v>
                </c:pt>
                <c:pt idx="56">
                  <c:v>2.7850766498071322E-3</c:v>
                </c:pt>
                <c:pt idx="57">
                  <c:v>2.7736942447070707E-3</c:v>
                </c:pt>
                <c:pt idx="58">
                  <c:v>2.7582931299005822E-3</c:v>
                </c:pt>
                <c:pt idx="59">
                  <c:v>2.7355033361108109E-3</c:v>
                </c:pt>
                <c:pt idx="60">
                  <c:v>2.7011007634981893E-3</c:v>
                </c:pt>
                <c:pt idx="61">
                  <c:v>2.6507372370857345E-3</c:v>
                </c:pt>
                <c:pt idx="62">
                  <c:v>2.5788974702525636E-3</c:v>
                </c:pt>
                <c:pt idx="63">
                  <c:v>2.4789421923911261E-3</c:v>
                </c:pt>
                <c:pt idx="64">
                  <c:v>2.3450910865717516E-3</c:v>
                </c:pt>
                <c:pt idx="65">
                  <c:v>2.1770254840613895E-3</c:v>
                </c:pt>
                <c:pt idx="66">
                  <c:v>1.9845747269085267E-3</c:v>
                </c:pt>
                <c:pt idx="67">
                  <c:v>1.7879562281521997E-3</c:v>
                </c:pt>
                <c:pt idx="68">
                  <c:v>1.6211357605172777E-3</c:v>
                </c:pt>
                <c:pt idx="69">
                  <c:v>1.5408009899691734E-3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81-734F-9A1F-8031C50A8D7F}"/>
            </c:ext>
          </c:extLst>
        </c:ser>
        <c:ser>
          <c:idx val="4"/>
          <c:order val="4"/>
          <c:tx>
            <c:v>CO2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Sheet1!$DT$3:$DT$72</c:f>
              <c:numCache>
                <c:formatCode>0.00E+00</c:formatCode>
                <c:ptCount val="70"/>
                <c:pt idx="0">
                  <c:v>7.1655827920494446E-6</c:v>
                </c:pt>
                <c:pt idx="1">
                  <c:v>7.3623226016338881E-6</c:v>
                </c:pt>
                <c:pt idx="2">
                  <c:v>7.6993828219799965E-6</c:v>
                </c:pt>
                <c:pt idx="3">
                  <c:v>8.0181465956874766E-6</c:v>
                </c:pt>
                <c:pt idx="4">
                  <c:v>8.3104413757060544E-6</c:v>
                </c:pt>
                <c:pt idx="5">
                  <c:v>8.5622930909542964E-6</c:v>
                </c:pt>
                <c:pt idx="6">
                  <c:v>8.7693134990473144E-6</c:v>
                </c:pt>
                <c:pt idx="7">
                  <c:v>8.932423974839896E-6</c:v>
                </c:pt>
                <c:pt idx="8">
                  <c:v>9.0566313362602034E-6</c:v>
                </c:pt>
                <c:pt idx="9">
                  <c:v>9.148779088581588E-6</c:v>
                </c:pt>
                <c:pt idx="10">
                  <c:v>9.2158902978299898E-6</c:v>
                </c:pt>
                <c:pt idx="11">
                  <c:v>9.2642620442692738E-6</c:v>
                </c:pt>
                <c:pt idx="12">
                  <c:v>9.2989443589771882E-6</c:v>
                </c:pt>
                <c:pt idx="13">
                  <c:v>9.3237320981049495E-6</c:v>
                </c:pt>
                <c:pt idx="14">
                  <c:v>9.3415984267666864E-6</c:v>
                </c:pt>
                <c:pt idx="15">
                  <c:v>9.3559979938471233E-6</c:v>
                </c:pt>
                <c:pt idx="16">
                  <c:v>9.3742453680749525E-6</c:v>
                </c:pt>
                <c:pt idx="17">
                  <c:v>9.4120289149582851E-6</c:v>
                </c:pt>
                <c:pt idx="18">
                  <c:v>9.4939687056177491E-6</c:v>
                </c:pt>
                <c:pt idx="19">
                  <c:v>9.6478642574336104E-6</c:v>
                </c:pt>
                <c:pt idx="20">
                  <c:v>9.894769641556316E-6</c:v>
                </c:pt>
                <c:pt idx="21">
                  <c:v>1.0240244397700054E-5</c:v>
                </c:pt>
                <c:pt idx="22">
                  <c:v>1.0676976174722813E-5</c:v>
                </c:pt>
                <c:pt idx="23">
                  <c:v>1.118292541340728E-5</c:v>
                </c:pt>
                <c:pt idx="24">
                  <c:v>1.1742177572663798E-5</c:v>
                </c:pt>
                <c:pt idx="25">
                  <c:v>1.2325515216048505E-5</c:v>
                </c:pt>
                <c:pt idx="26">
                  <c:v>1.293211060040981E-5</c:v>
                </c:pt>
                <c:pt idx="27">
                  <c:v>1.3579133418524987E-5</c:v>
                </c:pt>
                <c:pt idx="28">
                  <c:v>1.4269804359640594E-5</c:v>
                </c:pt>
                <c:pt idx="29">
                  <c:v>1.4991078423260464E-5</c:v>
                </c:pt>
                <c:pt idx="30">
                  <c:v>1.5766160740493237E-5</c:v>
                </c:pt>
                <c:pt idx="31">
                  <c:v>1.6671298966841369E-5</c:v>
                </c:pt>
                <c:pt idx="32">
                  <c:v>1.7790054606046055E-5</c:v>
                </c:pt>
                <c:pt idx="33">
                  <c:v>1.9177636692574334E-5</c:v>
                </c:pt>
                <c:pt idx="34">
                  <c:v>2.0904279861023345E-5</c:v>
                </c:pt>
                <c:pt idx="35">
                  <c:v>2.303176712314009E-5</c:v>
                </c:pt>
                <c:pt idx="36">
                  <c:v>2.5484526113514328E-5</c:v>
                </c:pt>
                <c:pt idx="37">
                  <c:v>2.825788931405102E-5</c:v>
                </c:pt>
                <c:pt idx="38">
                  <c:v>3.1373315784679675E-5</c:v>
                </c:pt>
                <c:pt idx="39">
                  <c:v>3.4756702379747114E-5</c:v>
                </c:pt>
                <c:pt idx="40">
                  <c:v>3.836157178546327E-5</c:v>
                </c:pt>
                <c:pt idx="41">
                  <c:v>4.219197795214322E-5</c:v>
                </c:pt>
                <c:pt idx="42">
                  <c:v>4.619323627263884E-5</c:v>
                </c:pt>
                <c:pt idx="43">
                  <c:v>5.0318497965393246E-5</c:v>
                </c:pt>
                <c:pt idx="44">
                  <c:v>5.4563812031810113E-5</c:v>
                </c:pt>
                <c:pt idx="45">
                  <c:v>5.8895892626854354E-5</c:v>
                </c:pt>
                <c:pt idx="46">
                  <c:v>6.3245399572403466E-5</c:v>
                </c:pt>
                <c:pt idx="47">
                  <c:v>6.749785276465374E-5</c:v>
                </c:pt>
                <c:pt idx="48">
                  <c:v>7.1540459230294128E-5</c:v>
                </c:pt>
                <c:pt idx="49">
                  <c:v>7.5334154973971814E-5</c:v>
                </c:pt>
                <c:pt idx="50">
                  <c:v>7.888915996203488E-5</c:v>
                </c:pt>
                <c:pt idx="51">
                  <c:v>8.2217955744313921E-5</c:v>
                </c:pt>
                <c:pt idx="52">
                  <c:v>8.5302620988618564E-5</c:v>
                </c:pt>
                <c:pt idx="53">
                  <c:v>8.8095795272579184E-5</c:v>
                </c:pt>
                <c:pt idx="54">
                  <c:v>9.053570734348401E-5</c:v>
                </c:pt>
                <c:pt idx="55">
                  <c:v>9.2530414651734589E-5</c:v>
                </c:pt>
                <c:pt idx="56">
                  <c:v>9.3953348703394501E-5</c:v>
                </c:pt>
                <c:pt idx="57">
                  <c:v>9.4697240201522618E-5</c:v>
                </c:pt>
                <c:pt idx="58">
                  <c:v>9.4817209197925391E-5</c:v>
                </c:pt>
                <c:pt idx="59">
                  <c:v>9.5537581513152861E-5</c:v>
                </c:pt>
                <c:pt idx="60">
                  <c:v>9.9085842391630495E-5</c:v>
                </c:pt>
                <c:pt idx="61">
                  <c:v>1.0709700373979537E-4</c:v>
                </c:pt>
                <c:pt idx="62">
                  <c:v>1.2159813257449195E-4</c:v>
                </c:pt>
                <c:pt idx="63">
                  <c:v>1.4556470014670482E-4</c:v>
                </c:pt>
                <c:pt idx="64">
                  <c:v>1.8223581199916541E-4</c:v>
                </c:pt>
                <c:pt idx="65">
                  <c:v>2.330266409292118E-4</c:v>
                </c:pt>
                <c:pt idx="66">
                  <c:v>2.9503973336555619E-4</c:v>
                </c:pt>
                <c:pt idx="67">
                  <c:v>3.6018764832780159E-4</c:v>
                </c:pt>
                <c:pt idx="68">
                  <c:v>4.1097740811848251E-4</c:v>
                </c:pt>
                <c:pt idx="69">
                  <c:v>4.0755695894458238E-4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81-734F-9A1F-8031C50A8D7F}"/>
            </c:ext>
          </c:extLst>
        </c:ser>
        <c:ser>
          <c:idx val="5"/>
          <c:order val="5"/>
          <c:tx>
            <c:v>H2O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Sheet1!$DU$3:$DU$72</c:f>
              <c:numCache>
                <c:formatCode>0.00E+00</c:formatCode>
                <c:ptCount val="70"/>
                <c:pt idx="0">
                  <c:v>1.0122746004033553E-2</c:v>
                </c:pt>
                <c:pt idx="1">
                  <c:v>1.0101178386453354E-2</c:v>
                </c:pt>
                <c:pt idx="2">
                  <c:v>1.0062513524839289E-2</c:v>
                </c:pt>
                <c:pt idx="3">
                  <c:v>1.0016834177250177E-2</c:v>
                </c:pt>
                <c:pt idx="4">
                  <c:v>9.9704344917644211E-3</c:v>
                </c:pt>
                <c:pt idx="5">
                  <c:v>9.92770473486357E-3</c:v>
                </c:pt>
                <c:pt idx="6">
                  <c:v>9.8913661115303843E-3</c:v>
                </c:pt>
                <c:pt idx="7">
                  <c:v>9.8624994837556174E-3</c:v>
                </c:pt>
                <c:pt idx="8">
                  <c:v>9.84081306664078E-3</c:v>
                </c:pt>
                <c:pt idx="9">
                  <c:v>9.8252298008838258E-3</c:v>
                </c:pt>
                <c:pt idx="10">
                  <c:v>9.8144030578638554E-3</c:v>
                </c:pt>
                <c:pt idx="11">
                  <c:v>9.8070741265984529E-3</c:v>
                </c:pt>
                <c:pt idx="12">
                  <c:v>9.8021973390942999E-3</c:v>
                </c:pt>
                <c:pt idx="13">
                  <c:v>9.7989977784793784E-3</c:v>
                </c:pt>
                <c:pt idx="14">
                  <c:v>9.7969162675813678E-3</c:v>
                </c:pt>
                <c:pt idx="15">
                  <c:v>9.795565948107942E-3</c:v>
                </c:pt>
                <c:pt idx="16">
                  <c:v>9.794687753659612E-3</c:v>
                </c:pt>
                <c:pt idx="17">
                  <c:v>9.7941119182647744E-3</c:v>
                </c:pt>
                <c:pt idx="18">
                  <c:v>9.7937024540797422E-3</c:v>
                </c:pt>
                <c:pt idx="19">
                  <c:v>9.7933642606354825E-3</c:v>
                </c:pt>
                <c:pt idx="20">
                  <c:v>9.7930260792787899E-3</c:v>
                </c:pt>
                <c:pt idx="21">
                  <c:v>9.7926488426420197E-3</c:v>
                </c:pt>
                <c:pt idx="22">
                  <c:v>9.7922070253723299E-3</c:v>
                </c:pt>
                <c:pt idx="23">
                  <c:v>9.7917145954099123E-3</c:v>
                </c:pt>
                <c:pt idx="24">
                  <c:v>9.7911669768040773E-3</c:v>
                </c:pt>
                <c:pt idx="25">
                  <c:v>9.7905900669974302E-3</c:v>
                </c:pt>
                <c:pt idx="26">
                  <c:v>9.7899949291122418E-3</c:v>
                </c:pt>
                <c:pt idx="27">
                  <c:v>9.7893581134904321E-3</c:v>
                </c:pt>
                <c:pt idx="28">
                  <c:v>9.7886762489162327E-3</c:v>
                </c:pt>
                <c:pt idx="29">
                  <c:v>9.7879626563825654E-3</c:v>
                </c:pt>
                <c:pt idx="30">
                  <c:v>9.7871934567123585E-3</c:v>
                </c:pt>
                <c:pt idx="31">
                  <c:v>9.7862915351049073E-3</c:v>
                </c:pt>
                <c:pt idx="32">
                  <c:v>9.7851802531501459E-3</c:v>
                </c:pt>
                <c:pt idx="33">
                  <c:v>9.7838003073763315E-3</c:v>
                </c:pt>
                <c:pt idx="34">
                  <c:v>9.7820794901604408E-3</c:v>
                </c:pt>
                <c:pt idx="35">
                  <c:v>9.7799484843442107E-3</c:v>
                </c:pt>
                <c:pt idx="36">
                  <c:v>9.7774951550166442E-3</c:v>
                </c:pt>
                <c:pt idx="37">
                  <c:v>9.7747205198173634E-3</c:v>
                </c:pt>
                <c:pt idx="38">
                  <c:v>9.7715992164369592E-3</c:v>
                </c:pt>
                <c:pt idx="39">
                  <c:v>9.7682097454769769E-3</c:v>
                </c:pt>
                <c:pt idx="40">
                  <c:v>9.7645907141372425E-3</c:v>
                </c:pt>
                <c:pt idx="41">
                  <c:v>9.7607318592489358E-3</c:v>
                </c:pt>
                <c:pt idx="42">
                  <c:v>9.7566831681235762E-3</c:v>
                </c:pt>
                <c:pt idx="43">
                  <c:v>9.7524714152680322E-3</c:v>
                </c:pt>
                <c:pt idx="44">
                  <c:v>9.7480714348380064E-3</c:v>
                </c:pt>
                <c:pt idx="45">
                  <c:v>9.7434773241003216E-3</c:v>
                </c:pt>
                <c:pt idx="46">
                  <c:v>9.7386786852992815E-3</c:v>
                </c:pt>
                <c:pt idx="47">
                  <c:v>9.7336815036567215E-3</c:v>
                </c:pt>
                <c:pt idx="48">
                  <c:v>9.7284564137052349E-3</c:v>
                </c:pt>
                <c:pt idx="49">
                  <c:v>9.7228359831691043E-3</c:v>
                </c:pt>
                <c:pt idx="50">
                  <c:v>9.7165397068098569E-3</c:v>
                </c:pt>
                <c:pt idx="51">
                  <c:v>9.7091666716861789E-3</c:v>
                </c:pt>
                <c:pt idx="52">
                  <c:v>9.7002018632080834E-3</c:v>
                </c:pt>
                <c:pt idx="53">
                  <c:v>9.6889291199988032E-3</c:v>
                </c:pt>
                <c:pt idx="54">
                  <c:v>9.674302248418247E-3</c:v>
                </c:pt>
                <c:pt idx="55">
                  <c:v>9.6548375086631857E-3</c:v>
                </c:pt>
                <c:pt idx="56">
                  <c:v>9.6283580879422317E-3</c:v>
                </c:pt>
                <c:pt idx="57">
                  <c:v>9.5916291527623591E-3</c:v>
                </c:pt>
                <c:pt idx="58">
                  <c:v>9.5398010457058927E-3</c:v>
                </c:pt>
                <c:pt idx="59">
                  <c:v>9.4643801633717446E-3</c:v>
                </c:pt>
                <c:pt idx="60">
                  <c:v>9.3563940936790494E-3</c:v>
                </c:pt>
                <c:pt idx="61">
                  <c:v>9.2049573306545798E-3</c:v>
                </c:pt>
                <c:pt idx="62">
                  <c:v>8.996049540828565E-3</c:v>
                </c:pt>
                <c:pt idx="63">
                  <c:v>8.713719773395693E-3</c:v>
                </c:pt>
                <c:pt idx="64">
                  <c:v>8.3440794888212551E-3</c:v>
                </c:pt>
                <c:pt idx="65">
                  <c:v>7.8827330027647705E-3</c:v>
                </c:pt>
                <c:pt idx="66">
                  <c:v>7.3358001916121809E-3</c:v>
                </c:pt>
                <c:pt idx="67">
                  <c:v>6.683076869314985E-3</c:v>
                </c:pt>
                <c:pt idx="68">
                  <c:v>5.7566708778503907E-3</c:v>
                </c:pt>
                <c:pt idx="69">
                  <c:v>4.4157301423541689E-3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B0-FC45-B543-1C36D673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748992"/>
        <c:axId val="1226861328"/>
      </c:scatterChart>
      <c:valAx>
        <c:axId val="1214748992"/>
        <c:scaling>
          <c:logBase val="10"/>
          <c:orientation val="minMax"/>
          <c:min val="9.9999999999999998E-1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61328"/>
        <c:crosses val="autoZero"/>
        <c:crossBetween val="midCat"/>
      </c:valAx>
      <c:valAx>
        <c:axId val="1226861328"/>
        <c:scaling>
          <c:logBase val="10"/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4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660400</xdr:colOff>
      <xdr:row>12</xdr:row>
      <xdr:rowOff>152400</xdr:rowOff>
    </xdr:from>
    <xdr:to>
      <xdr:col>7</xdr:col>
      <xdr:colOff>381000</xdr:colOff>
      <xdr:row>32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FD2603-0804-A38F-3835-BC47A5B32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21</xdr:col>
      <xdr:colOff>457200</xdr:colOff>
      <xdr:row>35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87A65C-F6D2-5A42-AD02-F4343DB14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2598-95EE-3B4F-AA02-9AE8FEE743D2}">
  <dimension ref="A1:HW72"/>
  <sheetViews>
    <sheetView tabSelected="1" topLeftCell="E3" workbookViewId="0">
      <selection activeCell="DU3" sqref="DU3:DU72"/>
    </sheetView>
  </sheetViews>
  <sheetFormatPr baseColWidth="10" defaultRowHeight="16" x14ac:dyDescent="0.2"/>
  <sheetData>
    <row r="1" spans="1:2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>
        <v>90</v>
      </c>
      <c r="CR1">
        <v>91</v>
      </c>
      <c r="CS1">
        <v>92</v>
      </c>
      <c r="CT1">
        <v>93</v>
      </c>
      <c r="CU1">
        <v>94</v>
      </c>
      <c r="CV1">
        <v>95</v>
      </c>
      <c r="CW1">
        <v>96</v>
      </c>
      <c r="CX1">
        <v>97</v>
      </c>
      <c r="CY1">
        <v>98</v>
      </c>
      <c r="CZ1">
        <v>99</v>
      </c>
      <c r="DA1">
        <v>100</v>
      </c>
      <c r="DB1">
        <v>101</v>
      </c>
      <c r="DC1">
        <v>102</v>
      </c>
      <c r="DD1">
        <v>103</v>
      </c>
      <c r="DE1">
        <v>104</v>
      </c>
      <c r="DF1">
        <v>105</v>
      </c>
      <c r="DG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P1" t="s">
        <v>8</v>
      </c>
      <c r="DQ1" t="s">
        <v>9</v>
      </c>
      <c r="DR1" t="s">
        <v>10</v>
      </c>
      <c r="DS1" t="s">
        <v>11</v>
      </c>
      <c r="DT1" t="s">
        <v>12</v>
      </c>
      <c r="DU1" t="s">
        <v>13</v>
      </c>
      <c r="EQ1">
        <v>69</v>
      </c>
      <c r="ES1">
        <v>70</v>
      </c>
      <c r="EU1">
        <v>71</v>
      </c>
      <c r="EW1">
        <v>72</v>
      </c>
      <c r="EY1">
        <v>73</v>
      </c>
      <c r="FA1">
        <v>74</v>
      </c>
      <c r="FC1">
        <v>75</v>
      </c>
      <c r="FE1">
        <v>76</v>
      </c>
      <c r="FG1">
        <v>77</v>
      </c>
      <c r="FI1">
        <v>78</v>
      </c>
      <c r="FK1">
        <v>79</v>
      </c>
      <c r="FM1">
        <v>80</v>
      </c>
      <c r="FO1">
        <v>81</v>
      </c>
      <c r="FQ1">
        <v>82</v>
      </c>
      <c r="FS1">
        <v>83</v>
      </c>
      <c r="FU1">
        <v>84</v>
      </c>
      <c r="FW1">
        <v>85</v>
      </c>
      <c r="FY1">
        <v>86</v>
      </c>
      <c r="GA1">
        <v>87</v>
      </c>
      <c r="GC1">
        <v>88</v>
      </c>
      <c r="GE1">
        <v>89</v>
      </c>
      <c r="GG1">
        <v>90</v>
      </c>
      <c r="GI1">
        <v>91</v>
      </c>
      <c r="GK1">
        <v>92</v>
      </c>
      <c r="GM1">
        <v>93</v>
      </c>
      <c r="GO1">
        <v>94</v>
      </c>
      <c r="GQ1">
        <v>95</v>
      </c>
      <c r="GS1">
        <v>96</v>
      </c>
      <c r="GU1">
        <v>97</v>
      </c>
      <c r="GW1">
        <v>98</v>
      </c>
      <c r="GY1">
        <v>99</v>
      </c>
      <c r="HA1">
        <v>100</v>
      </c>
      <c r="HC1">
        <v>101</v>
      </c>
      <c r="HE1">
        <v>102</v>
      </c>
      <c r="HG1">
        <v>103</v>
      </c>
      <c r="HI1">
        <v>104</v>
      </c>
      <c r="HK1">
        <v>105</v>
      </c>
      <c r="HM1">
        <v>106</v>
      </c>
      <c r="HO1">
        <v>107</v>
      </c>
      <c r="HQ1">
        <v>108</v>
      </c>
      <c r="HS1">
        <v>109</v>
      </c>
      <c r="HU1">
        <v>110</v>
      </c>
      <c r="HW1">
        <v>111</v>
      </c>
    </row>
    <row r="2" spans="1:231" x14ac:dyDescent="0.2">
      <c r="A2" t="s">
        <v>5</v>
      </c>
      <c r="B2" t="s">
        <v>5</v>
      </c>
      <c r="C2" t="s">
        <v>5</v>
      </c>
      <c r="D2" t="s">
        <v>6</v>
      </c>
      <c r="E2" t="s">
        <v>7</v>
      </c>
    </row>
    <row r="3" spans="1:231" x14ac:dyDescent="0.2">
      <c r="A3">
        <v>143.83264199999999</v>
      </c>
      <c r="B3">
        <v>0</v>
      </c>
      <c r="C3">
        <v>287.66528399999999</v>
      </c>
      <c r="D3">
        <v>1788.8793519999999</v>
      </c>
      <c r="E3" s="1">
        <v>9011789</v>
      </c>
      <c r="F3" s="1">
        <v>224126700</v>
      </c>
      <c r="G3" s="1">
        <v>9.4614900000000002E-9</v>
      </c>
      <c r="H3" s="1">
        <v>1.163564E+16</v>
      </c>
      <c r="I3" s="1">
        <v>7845616000000</v>
      </c>
      <c r="J3" s="1">
        <v>29098.47</v>
      </c>
      <c r="K3" s="1">
        <v>1371488</v>
      </c>
      <c r="L3" s="1">
        <v>3.159567E+18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4456.1689999999999</v>
      </c>
      <c r="Y3" s="1">
        <v>8.042008E+17</v>
      </c>
      <c r="Z3" s="1">
        <v>1.000924E+17</v>
      </c>
      <c r="AA3" s="1">
        <v>43466820000000</v>
      </c>
      <c r="AB3" s="1">
        <v>1528422</v>
      </c>
      <c r="AC3" s="1">
        <v>684119800000</v>
      </c>
      <c r="AD3" s="1">
        <v>9.1170460000000001E-6</v>
      </c>
      <c r="AE3" s="1">
        <v>0.61658579999999996</v>
      </c>
      <c r="AF3" s="1">
        <v>1893405000000</v>
      </c>
      <c r="AG3" s="1">
        <v>844029000</v>
      </c>
      <c r="AH3" s="1">
        <v>3245105000000</v>
      </c>
      <c r="AI3" s="1">
        <v>1267360000</v>
      </c>
      <c r="AJ3" s="1">
        <v>49058660</v>
      </c>
      <c r="AK3" s="1">
        <v>10481920</v>
      </c>
      <c r="AL3" s="1">
        <v>12779410</v>
      </c>
      <c r="AM3" s="1">
        <v>73473970</v>
      </c>
      <c r="AN3" s="1">
        <v>120655.4</v>
      </c>
      <c r="AO3" s="1">
        <v>2272.0169999999998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2236561000000000</v>
      </c>
      <c r="BF3" s="1">
        <v>3.080476E+20</v>
      </c>
      <c r="BG3" s="1">
        <v>1022912</v>
      </c>
      <c r="BH3" s="1">
        <v>0</v>
      </c>
      <c r="BI3" s="1">
        <v>378.03750000000002</v>
      </c>
      <c r="BJ3" s="1">
        <v>0</v>
      </c>
      <c r="BK3" s="1">
        <v>630314</v>
      </c>
      <c r="BL3" s="1">
        <v>4951951000</v>
      </c>
      <c r="BM3" s="1">
        <v>93514390000000</v>
      </c>
      <c r="BN3" s="1">
        <v>1344756000000</v>
      </c>
      <c r="BO3" s="1">
        <v>97002540</v>
      </c>
      <c r="BP3" s="1">
        <v>285483300</v>
      </c>
      <c r="BQ3" s="1">
        <v>74468970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3.058576E-2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139717200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N3" s="1">
        <f>SUM(F3:DL3)</f>
        <v>3.1212548440324643E+20</v>
      </c>
      <c r="DP3" s="1">
        <f>H3/DN3</f>
        <v>3.7278724684228239E-5</v>
      </c>
      <c r="DQ3" s="1">
        <f>BF3/DN3</f>
        <v>0.98693511229612363</v>
      </c>
      <c r="DR3" s="1">
        <f>Z3/DN3</f>
        <v>3.2067999891571472E-4</v>
      </c>
      <c r="DS3" s="1">
        <f>Y3/DN3</f>
        <v>2.5765304026281409E-3</v>
      </c>
      <c r="DT3" s="1">
        <f>BE3/DN3</f>
        <v>7.1655827920494446E-6</v>
      </c>
      <c r="DU3" s="1">
        <f>L3/DN3</f>
        <v>1.0122746004033553E-2</v>
      </c>
    </row>
    <row r="4" spans="1:231" x14ac:dyDescent="0.2">
      <c r="A4">
        <v>431.49792600000001</v>
      </c>
      <c r="B4">
        <v>287.66528399999999</v>
      </c>
      <c r="C4">
        <v>575.33056799999997</v>
      </c>
      <c r="D4">
        <v>1751.177966</v>
      </c>
      <c r="E4" s="1">
        <v>7301843</v>
      </c>
      <c r="F4" s="1">
        <v>108081100</v>
      </c>
      <c r="G4" s="1">
        <v>2.5218279999999999E-9</v>
      </c>
      <c r="H4" s="1">
        <v>7643188000000000</v>
      </c>
      <c r="I4" s="1">
        <v>4705223000000</v>
      </c>
      <c r="J4" s="1">
        <v>12682.14</v>
      </c>
      <c r="K4" s="1">
        <v>659269.6</v>
      </c>
      <c r="L4" s="1">
        <v>2.609697E+18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1594.9870000000001</v>
      </c>
      <c r="Y4" s="1">
        <v>6.710149E+17</v>
      </c>
      <c r="Z4" s="1">
        <v>7.744512E+16</v>
      </c>
      <c r="AA4" s="1">
        <v>29863060000000</v>
      </c>
      <c r="AB4" s="1">
        <v>1045658</v>
      </c>
      <c r="AC4" s="1">
        <v>443621900000</v>
      </c>
      <c r="AD4" s="1">
        <v>3.547612E-6</v>
      </c>
      <c r="AE4" s="1">
        <v>0.18553</v>
      </c>
      <c r="AF4" s="1">
        <v>1140945000000</v>
      </c>
      <c r="AG4" s="1">
        <v>417171500</v>
      </c>
      <c r="AH4" s="1">
        <v>2080036000000</v>
      </c>
      <c r="AI4" s="1">
        <v>660804500</v>
      </c>
      <c r="AJ4" s="1">
        <v>31069170</v>
      </c>
      <c r="AK4" s="1">
        <v>5171750</v>
      </c>
      <c r="AL4" s="1">
        <v>8397866</v>
      </c>
      <c r="AM4" s="1">
        <v>39185000</v>
      </c>
      <c r="AN4" s="1">
        <v>60887.69</v>
      </c>
      <c r="AO4" s="1">
        <v>982.87940000000003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1902098000000000</v>
      </c>
      <c r="BF4" s="1">
        <v>2.5498790000000002E+20</v>
      </c>
      <c r="BG4" s="1">
        <v>492788.7</v>
      </c>
      <c r="BH4" s="1">
        <v>0</v>
      </c>
      <c r="BI4" s="1">
        <v>138.4853</v>
      </c>
      <c r="BJ4" s="1">
        <v>0</v>
      </c>
      <c r="BK4" s="1">
        <v>246196.1</v>
      </c>
      <c r="BL4" s="1">
        <v>2347864000</v>
      </c>
      <c r="BM4" s="1">
        <v>57381300000000</v>
      </c>
      <c r="BN4" s="1">
        <v>803061100000</v>
      </c>
      <c r="BO4" s="1">
        <v>48562720</v>
      </c>
      <c r="BP4" s="1">
        <v>162739200</v>
      </c>
      <c r="BQ4" s="1">
        <v>34486080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1.071096E-2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62477280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N4" s="1">
        <f t="shared" ref="DN4:DN67" si="0">SUM(F4:DL4)</f>
        <v>2.5835569872717555E+20</v>
      </c>
      <c r="DP4" s="1">
        <f t="shared" ref="DP4:DP62" si="1">H4/DN4</f>
        <v>2.9583972939846901E-5</v>
      </c>
      <c r="DQ4" s="1">
        <f t="shared" ref="DQ4:DQ67" si="2">BF4/DN4</f>
        <v>0.98696448832455619</v>
      </c>
      <c r="DR4" s="1">
        <f t="shared" ref="DR4:DR67" si="3">Z4/DN4</f>
        <v>2.997616092137464E-4</v>
      </c>
      <c r="DS4" s="1">
        <f t="shared" ref="DS4:DS67" si="4">Y4/DN4</f>
        <v>2.5972521732860782E-3</v>
      </c>
      <c r="DT4" s="1">
        <f t="shared" ref="DT4:DT67" si="5">BE4/DN4</f>
        <v>7.3623226016338881E-6</v>
      </c>
      <c r="DU4" s="1">
        <f t="shared" ref="DU4:DU67" si="6">L4/DN4</f>
        <v>1.0101178386453354E-2</v>
      </c>
    </row>
    <row r="5" spans="1:231" x14ac:dyDescent="0.2">
      <c r="A5">
        <v>719.16321100000005</v>
      </c>
      <c r="B5">
        <v>575.33056799999997</v>
      </c>
      <c r="C5">
        <v>862.99585300000001</v>
      </c>
      <c r="D5">
        <v>1720.546237</v>
      </c>
      <c r="E5" s="1">
        <v>5890654</v>
      </c>
      <c r="F5" s="1">
        <v>59039760</v>
      </c>
      <c r="G5" s="1">
        <v>8.458113E-10</v>
      </c>
      <c r="H5" s="1">
        <v>5300971000000000</v>
      </c>
      <c r="I5" s="1">
        <v>3013003000000</v>
      </c>
      <c r="J5" s="1">
        <v>6243.2669999999998</v>
      </c>
      <c r="K5" s="1">
        <v>345509.6</v>
      </c>
      <c r="L5" s="1">
        <v>2.13477E+18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653.37310000000002</v>
      </c>
      <c r="Y5" s="1">
        <v>5.588773E+17</v>
      </c>
      <c r="Z5" s="1">
        <v>5.562823E+16</v>
      </c>
      <c r="AA5" s="1">
        <v>20341760000000</v>
      </c>
      <c r="AB5" s="1">
        <v>710405.2</v>
      </c>
      <c r="AC5" s="1">
        <v>274047600000</v>
      </c>
      <c r="AD5" s="1">
        <v>1.4434400000000001E-6</v>
      </c>
      <c r="AE5" s="1">
        <v>6.3885490000000003E-2</v>
      </c>
      <c r="AF5" s="1">
        <v>670048500000</v>
      </c>
      <c r="AG5" s="1">
        <v>204443300</v>
      </c>
      <c r="AH5" s="1">
        <v>1236728000000</v>
      </c>
      <c r="AI5" s="1">
        <v>326251800</v>
      </c>
      <c r="AJ5" s="1">
        <v>17725080</v>
      </c>
      <c r="AK5" s="1">
        <v>2627083</v>
      </c>
      <c r="AL5" s="1">
        <v>5327785</v>
      </c>
      <c r="AM5" s="1">
        <v>20485610</v>
      </c>
      <c r="AN5" s="1">
        <v>30058.99</v>
      </c>
      <c r="AO5" s="1">
        <v>414.5607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1633430000000000</v>
      </c>
      <c r="BF5" s="1">
        <v>2.0939449999999998E+20</v>
      </c>
      <c r="BG5" s="1">
        <v>269381.3</v>
      </c>
      <c r="BH5" s="1">
        <v>0</v>
      </c>
      <c r="BI5" s="1">
        <v>60.038960000000003</v>
      </c>
      <c r="BJ5" s="1">
        <v>0</v>
      </c>
      <c r="BK5" s="1">
        <v>105817.4</v>
      </c>
      <c r="BL5" s="1">
        <v>1175282000</v>
      </c>
      <c r="BM5" s="1">
        <v>34784820000000</v>
      </c>
      <c r="BN5" s="1">
        <v>498902000000</v>
      </c>
      <c r="BO5" s="1">
        <v>24978330</v>
      </c>
      <c r="BP5" s="1">
        <v>97164000</v>
      </c>
      <c r="BQ5" s="1">
        <v>16647410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4.0895200000000001E-3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29765700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N5" s="1">
        <f t="shared" si="0"/>
        <v>2.1215077075229026E+20</v>
      </c>
      <c r="DP5" s="1">
        <f t="shared" si="1"/>
        <v>2.4986809999335218E-5</v>
      </c>
      <c r="DQ5" s="1">
        <f t="shared" si="2"/>
        <v>0.9870079625800251</v>
      </c>
      <c r="DR5" s="1">
        <f t="shared" si="3"/>
        <v>2.6221083148904594E-4</v>
      </c>
      <c r="DS5" s="1">
        <f t="shared" si="4"/>
        <v>2.6343401818348881E-3</v>
      </c>
      <c r="DT5" s="1">
        <f t="shared" si="5"/>
        <v>7.6993828219799965E-6</v>
      </c>
      <c r="DU5" s="1">
        <f t="shared" si="6"/>
        <v>1.0062513524839289E-2</v>
      </c>
    </row>
    <row r="6" spans="1:231" x14ac:dyDescent="0.2">
      <c r="A6">
        <v>1006.828495</v>
      </c>
      <c r="B6">
        <v>862.99585300000001</v>
      </c>
      <c r="C6">
        <v>1150.6611370000001</v>
      </c>
      <c r="D6">
        <v>1696.020951</v>
      </c>
      <c r="E6" s="1">
        <v>4735213</v>
      </c>
      <c r="F6" s="1">
        <v>35758740</v>
      </c>
      <c r="G6" s="1">
        <v>3.4136410000000001E-10</v>
      </c>
      <c r="H6" s="1">
        <v>3837574000000000</v>
      </c>
      <c r="I6" s="1">
        <v>2039018000000</v>
      </c>
      <c r="J6" s="1">
        <v>3395.09</v>
      </c>
      <c r="K6" s="1">
        <v>193872.5</v>
      </c>
      <c r="L6" s="1">
        <v>1.733103E+18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301.7747</v>
      </c>
      <c r="Y6" s="1">
        <v>4.633949E+17</v>
      </c>
      <c r="Z6" s="1">
        <v>3.767571E+16</v>
      </c>
      <c r="AA6" s="1">
        <v>13713780000000</v>
      </c>
      <c r="AB6" s="1">
        <v>477303.2</v>
      </c>
      <c r="AC6" s="1">
        <v>163619000000</v>
      </c>
      <c r="AD6" s="1">
        <v>6.0944390000000005E-7</v>
      </c>
      <c r="AE6" s="1">
        <v>2.4693980000000001E-2</v>
      </c>
      <c r="AF6" s="1">
        <v>386652500000</v>
      </c>
      <c r="AG6" s="1">
        <v>99530690</v>
      </c>
      <c r="AH6" s="1">
        <v>692206900000</v>
      </c>
      <c r="AI6" s="1">
        <v>153438300</v>
      </c>
      <c r="AJ6" s="1">
        <v>9205139</v>
      </c>
      <c r="AK6" s="1">
        <v>1370259</v>
      </c>
      <c r="AL6" s="1">
        <v>3272170</v>
      </c>
      <c r="AM6" s="1">
        <v>10505740</v>
      </c>
      <c r="AN6" s="1">
        <v>14407.21</v>
      </c>
      <c r="AO6" s="1">
        <v>170.94589999999999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1387292000000000</v>
      </c>
      <c r="BF6" s="1">
        <v>1.707796E+20</v>
      </c>
      <c r="BG6" s="1">
        <v>163027.9</v>
      </c>
      <c r="BH6" s="1">
        <v>0</v>
      </c>
      <c r="BI6" s="1">
        <v>30.039899999999999</v>
      </c>
      <c r="BJ6" s="1">
        <v>0</v>
      </c>
      <c r="BK6" s="1">
        <v>49829.42</v>
      </c>
      <c r="BL6" s="1">
        <v>615073900</v>
      </c>
      <c r="BM6" s="1">
        <v>20896480000000</v>
      </c>
      <c r="BN6" s="1">
        <v>318094100000</v>
      </c>
      <c r="BO6" s="1">
        <v>13082330</v>
      </c>
      <c r="BP6" s="1">
        <v>59872000</v>
      </c>
      <c r="BQ6" s="1">
        <v>8336671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1.6720039999999999E-3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14953480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N6" s="1">
        <f t="shared" si="0"/>
        <v>1.7301903668687582E+20</v>
      </c>
      <c r="DP6" s="1">
        <f t="shared" si="1"/>
        <v>2.2180068005725381E-5</v>
      </c>
      <c r="DQ6" s="1">
        <f t="shared" si="2"/>
        <v>0.9870567035295158</v>
      </c>
      <c r="DR6" s="1">
        <f t="shared" si="3"/>
        <v>2.1775470908547633E-4</v>
      </c>
      <c r="DS6" s="1">
        <f t="shared" si="4"/>
        <v>2.6782885217343853E-3</v>
      </c>
      <c r="DT6" s="1">
        <f t="shared" si="5"/>
        <v>8.0181465956874766E-6</v>
      </c>
      <c r="DU6" s="1">
        <f t="shared" si="6"/>
        <v>1.0016834177250177E-2</v>
      </c>
    </row>
    <row r="7" spans="1:231" x14ac:dyDescent="0.2">
      <c r="A7">
        <v>1294.4937789999999</v>
      </c>
      <c r="B7">
        <v>1150.6611370000001</v>
      </c>
      <c r="C7">
        <v>1438.326421</v>
      </c>
      <c r="D7">
        <v>1676.4755190000001</v>
      </c>
      <c r="E7" s="1">
        <v>3795797</v>
      </c>
      <c r="F7" s="1">
        <v>23711160</v>
      </c>
      <c r="G7" s="1">
        <v>1.6216380000000001E-10</v>
      </c>
      <c r="H7" s="1">
        <v>2884887000000000</v>
      </c>
      <c r="I7" s="1">
        <v>1448955000000</v>
      </c>
      <c r="J7" s="1">
        <v>2016.1510000000001</v>
      </c>
      <c r="K7" s="1">
        <v>115635.4</v>
      </c>
      <c r="L7" s="1">
        <v>1.399086E+18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154.3766</v>
      </c>
      <c r="Y7" s="1">
        <v>3.820974E+17</v>
      </c>
      <c r="Z7" s="1">
        <v>2.421512E+16</v>
      </c>
      <c r="AA7" s="1">
        <v>9152450000000</v>
      </c>
      <c r="AB7" s="1">
        <v>317563.5</v>
      </c>
      <c r="AC7" s="1">
        <v>94755710000</v>
      </c>
      <c r="AD7" s="1">
        <v>2.6579240000000002E-7</v>
      </c>
      <c r="AE7" s="1">
        <v>1.050678E-2</v>
      </c>
      <c r="AF7" s="1">
        <v>218930600000</v>
      </c>
      <c r="AG7" s="1">
        <v>48001220</v>
      </c>
      <c r="AH7" s="1">
        <v>366420100000</v>
      </c>
      <c r="AI7" s="1">
        <v>68966470</v>
      </c>
      <c r="AJ7" s="1">
        <v>4393180</v>
      </c>
      <c r="AK7" s="1">
        <v>728831.8</v>
      </c>
      <c r="AL7" s="1">
        <v>1947382</v>
      </c>
      <c r="AM7" s="1">
        <v>5282846</v>
      </c>
      <c r="AN7" s="1">
        <v>6713.8620000000001</v>
      </c>
      <c r="AO7" s="1">
        <v>68.969930000000005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1166150000000000</v>
      </c>
      <c r="BF7" s="1">
        <v>1.38514E+20</v>
      </c>
      <c r="BG7" s="1">
        <v>107935.3</v>
      </c>
      <c r="BH7" s="1">
        <v>0</v>
      </c>
      <c r="BI7" s="1">
        <v>17.037269999999999</v>
      </c>
      <c r="BJ7" s="1">
        <v>0</v>
      </c>
      <c r="BK7" s="1">
        <v>25353.71</v>
      </c>
      <c r="BL7" s="1">
        <v>333963500</v>
      </c>
      <c r="BM7" s="1">
        <v>12434890000000</v>
      </c>
      <c r="BN7" s="1">
        <v>207139000000</v>
      </c>
      <c r="BO7" s="1">
        <v>6955990</v>
      </c>
      <c r="BP7" s="1">
        <v>37896170</v>
      </c>
      <c r="BQ7" s="1">
        <v>4292423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7.2561170000000005E-4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7851723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N7" s="1">
        <f t="shared" si="0"/>
        <v>1.4032347348108499E+20</v>
      </c>
      <c r="DP7" s="1">
        <f t="shared" si="1"/>
        <v>2.0558834017096008E-5</v>
      </c>
      <c r="DQ7" s="1">
        <f t="shared" si="2"/>
        <v>0.98710498367666977</v>
      </c>
      <c r="DR7" s="1">
        <f t="shared" si="3"/>
        <v>1.7256642384400566E-4</v>
      </c>
      <c r="DS7" s="1">
        <f t="shared" si="4"/>
        <v>2.7229756399345766E-3</v>
      </c>
      <c r="DT7" s="1">
        <f t="shared" si="5"/>
        <v>8.3104413757060544E-6</v>
      </c>
      <c r="DU7" s="1">
        <f t="shared" si="6"/>
        <v>9.9704344917644211E-3</v>
      </c>
    </row>
    <row r="8" spans="1:231" x14ac:dyDescent="0.2">
      <c r="A8">
        <v>1582.1590630000001</v>
      </c>
      <c r="B8">
        <v>1438.326421</v>
      </c>
      <c r="C8">
        <v>1725.9917049999999</v>
      </c>
      <c r="D8">
        <v>1661.1441560000001</v>
      </c>
      <c r="E8" s="1">
        <v>3035830</v>
      </c>
      <c r="F8" s="1">
        <v>17051400</v>
      </c>
      <c r="G8" s="1">
        <v>8.9178929999999999E-11</v>
      </c>
      <c r="H8" s="1">
        <v>2242770000000000</v>
      </c>
      <c r="I8" s="1">
        <v>1076182000000</v>
      </c>
      <c r="J8" s="1">
        <v>1296.175</v>
      </c>
      <c r="K8" s="1">
        <v>72895.73</v>
      </c>
      <c r="L8" s="1">
        <v>1.124552E+18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86.388660000000002</v>
      </c>
      <c r="Y8" s="1">
        <v>3.131088E+17</v>
      </c>
      <c r="Z8" s="1">
        <v>1.482984E+16</v>
      </c>
      <c r="AA8" s="1">
        <v>6045038000000</v>
      </c>
      <c r="AB8" s="1">
        <v>209104.2</v>
      </c>
      <c r="AC8" s="1">
        <v>53352880000</v>
      </c>
      <c r="AD8" s="1">
        <v>1.19145E-7</v>
      </c>
      <c r="AE8" s="1">
        <v>4.8562620000000001E-3</v>
      </c>
      <c r="AF8" s="1">
        <v>121457900000</v>
      </c>
      <c r="AG8" s="1">
        <v>22882990</v>
      </c>
      <c r="AH8" s="1">
        <v>183899400000</v>
      </c>
      <c r="AI8" s="1">
        <v>29668330</v>
      </c>
      <c r="AJ8" s="1">
        <v>1937490</v>
      </c>
      <c r="AK8" s="1">
        <v>393243.9</v>
      </c>
      <c r="AL8" s="1">
        <v>1123396</v>
      </c>
      <c r="AM8" s="1">
        <v>2601769</v>
      </c>
      <c r="AN8" s="1">
        <v>3039.8530000000001</v>
      </c>
      <c r="AO8" s="1">
        <v>27.18892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969886200000000</v>
      </c>
      <c r="BF8" s="1">
        <v>1.118184E+20</v>
      </c>
      <c r="BG8" s="1">
        <v>77478.63</v>
      </c>
      <c r="BH8" s="1">
        <v>0</v>
      </c>
      <c r="BI8" s="1">
        <v>10.810689999999999</v>
      </c>
      <c r="BJ8" s="1">
        <v>0</v>
      </c>
      <c r="BK8" s="1">
        <v>13803.43</v>
      </c>
      <c r="BL8" s="1">
        <v>187149600</v>
      </c>
      <c r="BM8" s="1">
        <v>7327419000000</v>
      </c>
      <c r="BN8" s="1">
        <v>137286600000</v>
      </c>
      <c r="BO8" s="1">
        <v>3742371</v>
      </c>
      <c r="BP8" s="1">
        <v>24537490</v>
      </c>
      <c r="BQ8" s="1">
        <v>2258492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3.3156400000000001E-4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4283542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N8" s="1">
        <f t="shared" si="0"/>
        <v>1.1327411824113381E+20</v>
      </c>
      <c r="DP8" s="1">
        <f t="shared" si="1"/>
        <v>1.97994920183415E-5</v>
      </c>
      <c r="DQ8" s="1">
        <f t="shared" si="2"/>
        <v>0.98714871266501558</v>
      </c>
      <c r="DR8" s="1">
        <f t="shared" si="3"/>
        <v>1.309199332581056E-4</v>
      </c>
      <c r="DS8" s="1">
        <f t="shared" si="4"/>
        <v>2.7641689457556882E-3</v>
      </c>
      <c r="DT8" s="1">
        <f t="shared" si="5"/>
        <v>8.5622930909542964E-6</v>
      </c>
      <c r="DU8" s="1">
        <f t="shared" si="6"/>
        <v>9.92770473486357E-3</v>
      </c>
    </row>
    <row r="9" spans="1:231" x14ac:dyDescent="0.2">
      <c r="A9">
        <v>1869.824347</v>
      </c>
      <c r="B9">
        <v>1725.9917049999999</v>
      </c>
      <c r="C9">
        <v>2013.6569890000001</v>
      </c>
      <c r="D9">
        <v>1649.3484229999999</v>
      </c>
      <c r="E9" s="1">
        <v>2423617</v>
      </c>
      <c r="F9" s="1">
        <v>13170970</v>
      </c>
      <c r="G9" s="1">
        <v>5.5814090000000001E-11</v>
      </c>
      <c r="H9" s="1">
        <v>1795898000000000</v>
      </c>
      <c r="I9" s="1">
        <v>831273900000</v>
      </c>
      <c r="J9" s="1">
        <v>894.04930000000002</v>
      </c>
      <c r="K9" s="1">
        <v>48279.61</v>
      </c>
      <c r="L9" s="1">
        <v>9.009466E+17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52.24156</v>
      </c>
      <c r="Y9" s="1">
        <v>2.549629E+17</v>
      </c>
      <c r="Z9" s="1">
        <v>8698976000000000</v>
      </c>
      <c r="AA9" s="1">
        <v>3953696000000</v>
      </c>
      <c r="AB9" s="1">
        <v>136393.1</v>
      </c>
      <c r="AC9" s="1">
        <v>29296060000</v>
      </c>
      <c r="AD9" s="1">
        <v>5.4699900000000001E-8</v>
      </c>
      <c r="AE9" s="1">
        <v>2.4080460000000001E-3</v>
      </c>
      <c r="AF9" s="1">
        <v>66048350000</v>
      </c>
      <c r="AG9" s="1">
        <v>10776770</v>
      </c>
      <c r="AH9" s="1">
        <v>87914650000</v>
      </c>
      <c r="AI9" s="1">
        <v>12258970</v>
      </c>
      <c r="AJ9" s="1">
        <v>795948.5</v>
      </c>
      <c r="AK9" s="1">
        <v>214439.4</v>
      </c>
      <c r="AL9" s="1">
        <v>629447.1</v>
      </c>
      <c r="AM9" s="1">
        <v>1255984</v>
      </c>
      <c r="AN9" s="1">
        <v>1339.8040000000001</v>
      </c>
      <c r="AO9" s="1">
        <v>10.48611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798745400000000</v>
      </c>
      <c r="BF9" s="1">
        <v>8.9916929999999992E+19</v>
      </c>
      <c r="BG9" s="1">
        <v>59743.14</v>
      </c>
      <c r="BH9" s="1">
        <v>0</v>
      </c>
      <c r="BI9" s="1">
        <v>7.5718839999999998</v>
      </c>
      <c r="BJ9" s="1">
        <v>0</v>
      </c>
      <c r="BK9" s="1">
        <v>7966.192</v>
      </c>
      <c r="BL9" s="1">
        <v>107720200</v>
      </c>
      <c r="BM9" s="1">
        <v>4277171000000</v>
      </c>
      <c r="BN9" s="1">
        <v>92336880000</v>
      </c>
      <c r="BO9" s="1">
        <v>2033135</v>
      </c>
      <c r="BP9" s="1">
        <v>16200150</v>
      </c>
      <c r="BQ9" s="1">
        <v>1208457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1.5846950000000001E-4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2414343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N9" s="1">
        <f t="shared" si="0"/>
        <v>9.108414245730576E+19</v>
      </c>
      <c r="DP9" s="1">
        <f t="shared" si="1"/>
        <v>1.9716911764765185E-5</v>
      </c>
      <c r="DQ9" s="1">
        <f t="shared" si="2"/>
        <v>0.98718533845940437</v>
      </c>
      <c r="DR9" s="1">
        <f t="shared" si="3"/>
        <v>9.5504835038409742E-5</v>
      </c>
      <c r="DS9" s="1">
        <f t="shared" si="4"/>
        <v>2.7992018492078333E-3</v>
      </c>
      <c r="DT9" s="1">
        <f t="shared" si="5"/>
        <v>8.7693134990473144E-6</v>
      </c>
      <c r="DU9" s="1">
        <f t="shared" si="6"/>
        <v>9.8913661115303843E-3</v>
      </c>
    </row>
    <row r="10" spans="1:231" x14ac:dyDescent="0.2">
      <c r="A10">
        <v>2157.4896319999998</v>
      </c>
      <c r="B10">
        <v>2013.6569890000001</v>
      </c>
      <c r="C10">
        <v>2301.3222740000001</v>
      </c>
      <c r="D10">
        <v>1640.427682</v>
      </c>
      <c r="E10" s="1">
        <v>1932142</v>
      </c>
      <c r="F10" s="1">
        <v>10806180</v>
      </c>
      <c r="G10" s="1">
        <v>3.8969129999999998E-11</v>
      </c>
      <c r="H10" s="1">
        <v>1474365000000000</v>
      </c>
      <c r="I10" s="1">
        <v>663805800000</v>
      </c>
      <c r="J10" s="1">
        <v>654.57600000000002</v>
      </c>
      <c r="K10" s="1">
        <v>33350.17</v>
      </c>
      <c r="L10" s="1">
        <v>7.200864E+17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33.695059999999998</v>
      </c>
      <c r="Y10" s="1">
        <v>2.06409E+17</v>
      </c>
      <c r="Z10" s="1">
        <v>4918758000000000</v>
      </c>
      <c r="AA10" s="1">
        <v>2563598000000</v>
      </c>
      <c r="AB10" s="1">
        <v>88244.91</v>
      </c>
      <c r="AC10" s="1">
        <v>15746320000</v>
      </c>
      <c r="AD10" s="1">
        <v>2.5620190000000001E-8</v>
      </c>
      <c r="AE10" s="1">
        <v>1.2648570000000001E-3</v>
      </c>
      <c r="AF10" s="1">
        <v>35270480000</v>
      </c>
      <c r="AG10" s="1">
        <v>5017170</v>
      </c>
      <c r="AH10" s="1">
        <v>40295350000</v>
      </c>
      <c r="AI10" s="1">
        <v>4890997</v>
      </c>
      <c r="AJ10" s="1">
        <v>307712.59999999998</v>
      </c>
      <c r="AK10" s="1">
        <v>117839.2</v>
      </c>
      <c r="AL10" s="1">
        <v>343755.4</v>
      </c>
      <c r="AM10" s="1">
        <v>595552.69999999995</v>
      </c>
      <c r="AN10" s="1">
        <v>576.69880000000001</v>
      </c>
      <c r="AO10" s="1">
        <v>3.966504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652179200000000</v>
      </c>
      <c r="BF10" s="1">
        <v>7.207902E+19</v>
      </c>
      <c r="BG10" s="1">
        <v>48945.97</v>
      </c>
      <c r="BH10" s="1">
        <v>0</v>
      </c>
      <c r="BI10" s="1">
        <v>5.763757</v>
      </c>
      <c r="BJ10" s="1">
        <v>0</v>
      </c>
      <c r="BK10" s="1">
        <v>4825.0219999999999</v>
      </c>
      <c r="BL10" s="1">
        <v>63372820</v>
      </c>
      <c r="BM10" s="1">
        <v>2475563000000</v>
      </c>
      <c r="BN10" s="1">
        <v>62846200000</v>
      </c>
      <c r="BO10" s="1">
        <v>1113240</v>
      </c>
      <c r="BP10" s="1">
        <v>10869310</v>
      </c>
      <c r="BQ10" s="1">
        <v>654877.4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7.8642949999999996E-5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1397741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N10" s="1">
        <f t="shared" si="0"/>
        <v>7.3012566559424823E+19</v>
      </c>
      <c r="DP10" s="1">
        <f t="shared" si="1"/>
        <v>2.0193304652563015E-5</v>
      </c>
      <c r="DQ10" s="1">
        <f t="shared" si="2"/>
        <v>0.98721389202686072</v>
      </c>
      <c r="DR10" s="1">
        <f t="shared" si="3"/>
        <v>6.7368649422789846E-5</v>
      </c>
      <c r="DS10" s="1">
        <f t="shared" si="4"/>
        <v>2.8270338891867885E-3</v>
      </c>
      <c r="DT10" s="1">
        <f t="shared" si="5"/>
        <v>8.932423974839896E-6</v>
      </c>
      <c r="DU10" s="1">
        <f t="shared" si="6"/>
        <v>9.8624994837556174E-3</v>
      </c>
    </row>
    <row r="11" spans="1:231" x14ac:dyDescent="0.2">
      <c r="A11">
        <v>2445.154916</v>
      </c>
      <c r="B11">
        <v>2301.3222740000001</v>
      </c>
      <c r="C11">
        <v>2588.9875579999998</v>
      </c>
      <c r="D11">
        <v>1633.7613389999999</v>
      </c>
      <c r="E11" s="1">
        <v>1538677</v>
      </c>
      <c r="F11" s="1">
        <v>9307375</v>
      </c>
      <c r="G11" s="1">
        <v>2.9717480000000001E-11</v>
      </c>
      <c r="H11" s="1">
        <v>1234928000000000</v>
      </c>
      <c r="I11" s="1">
        <v>544511100000</v>
      </c>
      <c r="J11" s="1">
        <v>502.90690000000001</v>
      </c>
      <c r="K11" s="1">
        <v>23836.720000000001</v>
      </c>
      <c r="L11" s="1">
        <v>5.745452E+17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22.87726</v>
      </c>
      <c r="Y11" s="1">
        <v>1.662735E+17</v>
      </c>
      <c r="Z11" s="1">
        <v>2699554000000000</v>
      </c>
      <c r="AA11" s="1">
        <v>1650351000000</v>
      </c>
      <c r="AB11" s="1">
        <v>56715.519999999997</v>
      </c>
      <c r="AC11" s="1">
        <v>8317701000</v>
      </c>
      <c r="AD11" s="1">
        <v>1.219359E-8</v>
      </c>
      <c r="AE11" s="1">
        <v>6.95208E-4</v>
      </c>
      <c r="AF11" s="1">
        <v>18546310000</v>
      </c>
      <c r="AG11" s="1">
        <v>2312340</v>
      </c>
      <c r="AH11" s="1">
        <v>17840880000</v>
      </c>
      <c r="AI11" s="1">
        <v>1895772</v>
      </c>
      <c r="AJ11" s="1">
        <v>113212.3</v>
      </c>
      <c r="AK11" s="1">
        <v>65109.88</v>
      </c>
      <c r="AL11" s="1">
        <v>183778.6</v>
      </c>
      <c r="AM11" s="1">
        <v>278175.8</v>
      </c>
      <c r="AN11" s="1">
        <v>243.4008</v>
      </c>
      <c r="AO11" s="1">
        <v>1.4762329999999999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528761600000000</v>
      </c>
      <c r="BF11" s="1">
        <v>5.763863E+19</v>
      </c>
      <c r="BG11" s="1">
        <v>42111.61</v>
      </c>
      <c r="BH11" s="1">
        <v>0</v>
      </c>
      <c r="BI11" s="1">
        <v>4.6913980000000004</v>
      </c>
      <c r="BJ11" s="1">
        <v>0</v>
      </c>
      <c r="BK11" s="1">
        <v>3036.8310000000001</v>
      </c>
      <c r="BL11" s="1">
        <v>37928710</v>
      </c>
      <c r="BM11" s="1">
        <v>1422565000000</v>
      </c>
      <c r="BN11" s="1">
        <v>43172840000</v>
      </c>
      <c r="BO11" s="1">
        <v>613272.69999999995</v>
      </c>
      <c r="BP11" s="1">
        <v>7386564</v>
      </c>
      <c r="BQ11" s="1">
        <v>358210.3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4.0221369999999999E-5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826470.1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N11" s="1">
        <f t="shared" si="0"/>
        <v>5.838391564896623E+19</v>
      </c>
      <c r="DP11" s="1">
        <f t="shared" si="1"/>
        <v>2.1151852976511798E-5</v>
      </c>
      <c r="DQ11" s="1">
        <f t="shared" si="2"/>
        <v>0.98723474366729247</v>
      </c>
      <c r="DR11" s="1">
        <f t="shared" si="3"/>
        <v>4.6237974448837767E-5</v>
      </c>
      <c r="DS11" s="1">
        <f t="shared" si="4"/>
        <v>2.8479333417737989E-3</v>
      </c>
      <c r="DT11" s="1">
        <f t="shared" si="5"/>
        <v>9.0566313362602034E-6</v>
      </c>
      <c r="DU11" s="1">
        <f t="shared" si="6"/>
        <v>9.84081306664078E-3</v>
      </c>
    </row>
    <row r="12" spans="1:231" x14ac:dyDescent="0.2">
      <c r="A12">
        <v>2732.8202000000001</v>
      </c>
      <c r="B12">
        <v>2588.9875579999998</v>
      </c>
      <c r="C12">
        <v>2876.652842</v>
      </c>
      <c r="D12">
        <v>1628.8227919999999</v>
      </c>
      <c r="E12" s="1">
        <v>1224348</v>
      </c>
      <c r="F12" s="1">
        <v>8326593</v>
      </c>
      <c r="G12" s="1">
        <v>2.428073E-11</v>
      </c>
      <c r="H12" s="1">
        <v>1050713000000000</v>
      </c>
      <c r="I12" s="1">
        <v>456149500000</v>
      </c>
      <c r="J12" s="1">
        <v>401.23230000000001</v>
      </c>
      <c r="K12" s="1">
        <v>17498.98</v>
      </c>
      <c r="L12" s="1">
        <v>4.578484E+17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16.163509999999999</v>
      </c>
      <c r="Y12" s="1">
        <v>1.33411E+17</v>
      </c>
      <c r="Z12" s="1">
        <v>1447311000000000</v>
      </c>
      <c r="AA12" s="1">
        <v>1056424000000</v>
      </c>
      <c r="AB12" s="1">
        <v>36262.400000000001</v>
      </c>
      <c r="AC12" s="1">
        <v>4334115000</v>
      </c>
      <c r="AD12" s="1">
        <v>5.8764089999999997E-9</v>
      </c>
      <c r="AE12" s="1">
        <v>3.9569969999999997E-4</v>
      </c>
      <c r="AF12" s="1">
        <v>9631683000</v>
      </c>
      <c r="AG12" s="1">
        <v>1056972</v>
      </c>
      <c r="AH12" s="1">
        <v>7685857000</v>
      </c>
      <c r="AI12" s="1">
        <v>718170.9</v>
      </c>
      <c r="AJ12" s="1">
        <v>40060.5</v>
      </c>
      <c r="AK12" s="1">
        <v>36117.96</v>
      </c>
      <c r="AL12" s="1">
        <v>96605.79</v>
      </c>
      <c r="AM12" s="1">
        <v>128381.1</v>
      </c>
      <c r="AN12" s="1">
        <v>101.14060000000001</v>
      </c>
      <c r="AO12" s="1">
        <v>0.54235860000000002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426326300000000</v>
      </c>
      <c r="BF12" s="1">
        <v>4.600507E+19</v>
      </c>
      <c r="BG12" s="1">
        <v>37645.83</v>
      </c>
      <c r="BH12" s="1">
        <v>0</v>
      </c>
      <c r="BI12" s="1">
        <v>4.0236450000000001</v>
      </c>
      <c r="BJ12" s="1">
        <v>0</v>
      </c>
      <c r="BK12" s="1">
        <v>1969.075</v>
      </c>
      <c r="BL12" s="1">
        <v>23002410</v>
      </c>
      <c r="BM12" s="1">
        <v>812766100000</v>
      </c>
      <c r="BN12" s="1">
        <v>29870800000</v>
      </c>
      <c r="BO12" s="1">
        <v>339432</v>
      </c>
      <c r="BP12" s="1">
        <v>5069955</v>
      </c>
      <c r="BQ12" s="1">
        <v>197285.6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2.105993E-5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496711.8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N12" s="1">
        <f t="shared" si="0"/>
        <v>4.6599256127201665E+19</v>
      </c>
      <c r="DP12" s="1">
        <f t="shared" si="1"/>
        <v>2.2547849200250666E-5</v>
      </c>
      <c r="DQ12" s="1">
        <f t="shared" si="2"/>
        <v>0.98724902119510838</v>
      </c>
      <c r="DR12" s="1">
        <f t="shared" si="3"/>
        <v>3.1058671753241838E-5</v>
      </c>
      <c r="DS12" s="1">
        <f t="shared" si="4"/>
        <v>2.8629426966780098E-3</v>
      </c>
      <c r="DT12" s="1">
        <f t="shared" si="5"/>
        <v>9.148779088581588E-6</v>
      </c>
      <c r="DU12" s="1">
        <f t="shared" si="6"/>
        <v>9.8252298008838258E-3</v>
      </c>
    </row>
    <row r="13" spans="1:231" x14ac:dyDescent="0.2">
      <c r="A13">
        <v>3020.4854839999998</v>
      </c>
      <c r="B13">
        <v>2876.652842</v>
      </c>
      <c r="C13">
        <v>3164.3181260000001</v>
      </c>
      <c r="D13">
        <v>1625.1842630000001</v>
      </c>
      <c r="E13" s="1">
        <v>973646.9</v>
      </c>
      <c r="F13" s="1">
        <v>7667941</v>
      </c>
      <c r="G13" s="1">
        <v>2.0910379999999998E-11</v>
      </c>
      <c r="H13" s="1">
        <v>904730800000000</v>
      </c>
      <c r="I13" s="1">
        <v>388311600000</v>
      </c>
      <c r="J13" s="1">
        <v>329.46159999999998</v>
      </c>
      <c r="K13" s="1">
        <v>13111.51</v>
      </c>
      <c r="L13" s="1">
        <v>3.64519E+17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11.77106</v>
      </c>
      <c r="Y13" s="1">
        <v>1.067201E+17</v>
      </c>
      <c r="Z13" s="1">
        <v>762193600000000</v>
      </c>
      <c r="AA13" s="1">
        <v>673332500000</v>
      </c>
      <c r="AB13" s="1">
        <v>23094.23</v>
      </c>
      <c r="AC13" s="1">
        <v>2234949000</v>
      </c>
      <c r="AD13" s="1">
        <v>2.8592540000000001E-9</v>
      </c>
      <c r="AE13" s="1">
        <v>2.3126900000000001E-4</v>
      </c>
      <c r="AF13" s="1">
        <v>4954167000</v>
      </c>
      <c r="AG13" s="1">
        <v>480053.4</v>
      </c>
      <c r="AH13" s="1">
        <v>3242325000</v>
      </c>
      <c r="AI13" s="1">
        <v>267324.09999999998</v>
      </c>
      <c r="AJ13" s="1">
        <v>13759.23</v>
      </c>
      <c r="AK13" s="1">
        <v>20094.64</v>
      </c>
      <c r="AL13" s="1">
        <v>50129.24</v>
      </c>
      <c r="AM13" s="1">
        <v>58706.16</v>
      </c>
      <c r="AN13" s="1">
        <v>41.528880000000001</v>
      </c>
      <c r="AO13" s="1">
        <v>0.19729279999999999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342289500000000</v>
      </c>
      <c r="BF13" s="1">
        <v>3.666798E+19</v>
      </c>
      <c r="BG13" s="1">
        <v>34651.269999999997</v>
      </c>
      <c r="BH13" s="1">
        <v>0</v>
      </c>
      <c r="BI13" s="1">
        <v>3.5913710000000001</v>
      </c>
      <c r="BJ13" s="1">
        <v>0</v>
      </c>
      <c r="BK13" s="1">
        <v>1305.9380000000001</v>
      </c>
      <c r="BL13" s="1">
        <v>14090560</v>
      </c>
      <c r="BM13" s="1">
        <v>462305100000</v>
      </c>
      <c r="BN13" s="1">
        <v>20780370000</v>
      </c>
      <c r="BO13" s="1">
        <v>188543</v>
      </c>
      <c r="BP13" s="1">
        <v>3506458</v>
      </c>
      <c r="BQ13" s="1">
        <v>109209.4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1.122662E-5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302238.8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N13" s="1">
        <f t="shared" si="0"/>
        <v>3.7141229869087834E+19</v>
      </c>
      <c r="DP13" s="1">
        <f t="shared" si="1"/>
        <v>2.4359204129451723E-5</v>
      </c>
      <c r="DQ13" s="1">
        <f t="shared" si="2"/>
        <v>0.98725809913252993</v>
      </c>
      <c r="DR13" s="1">
        <f t="shared" si="3"/>
        <v>2.0521495994788365E-5</v>
      </c>
      <c r="DS13" s="1">
        <f t="shared" si="4"/>
        <v>2.8733593469079427E-3</v>
      </c>
      <c r="DT13" s="1">
        <f t="shared" si="5"/>
        <v>9.2158902978299898E-6</v>
      </c>
      <c r="DU13" s="1">
        <f t="shared" si="6"/>
        <v>9.8144030578638554E-3</v>
      </c>
    </row>
    <row r="14" spans="1:231" x14ac:dyDescent="0.2">
      <c r="A14">
        <v>3308.150768</v>
      </c>
      <c r="B14">
        <v>3164.3181260000001</v>
      </c>
      <c r="C14">
        <v>3451.9834099999998</v>
      </c>
      <c r="D14">
        <v>1622.5054070000001</v>
      </c>
      <c r="E14" s="1">
        <v>773935</v>
      </c>
      <c r="F14" s="1">
        <v>7215318</v>
      </c>
      <c r="G14" s="1">
        <v>1.87276E-11</v>
      </c>
      <c r="H14" s="1">
        <v>786003900000000</v>
      </c>
      <c r="I14" s="1">
        <v>334540200000</v>
      </c>
      <c r="J14" s="1">
        <v>276.39170000000001</v>
      </c>
      <c r="K14" s="1">
        <v>9974.7530000000006</v>
      </c>
      <c r="L14" s="1">
        <v>2.900159E+17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8.7676320000000008</v>
      </c>
      <c r="Y14" s="1">
        <v>8.517958E+16</v>
      </c>
      <c r="Z14" s="1">
        <v>396072800000000</v>
      </c>
      <c r="AA14" s="1">
        <v>427800900000</v>
      </c>
      <c r="AB14" s="1">
        <v>14665.31</v>
      </c>
      <c r="AC14" s="1">
        <v>1143539000</v>
      </c>
      <c r="AD14" s="1">
        <v>1.4012299999999999E-9</v>
      </c>
      <c r="AE14" s="1">
        <v>1.378528E-4</v>
      </c>
      <c r="AF14" s="1">
        <v>2529921000</v>
      </c>
      <c r="AG14" s="1">
        <v>216979.4</v>
      </c>
      <c r="AH14" s="1">
        <v>1346516000</v>
      </c>
      <c r="AI14" s="1">
        <v>98207.02</v>
      </c>
      <c r="AJ14" s="1">
        <v>4621.7939999999999</v>
      </c>
      <c r="AK14" s="1">
        <v>11204.58</v>
      </c>
      <c r="AL14" s="1">
        <v>25762.84</v>
      </c>
      <c r="AM14" s="1">
        <v>26661.93</v>
      </c>
      <c r="AN14" s="1">
        <v>16.90137</v>
      </c>
      <c r="AO14" s="1">
        <v>7.1240159999999997E-2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273963800000000</v>
      </c>
      <c r="BF14" s="1">
        <v>2.919546E+19</v>
      </c>
      <c r="BG14" s="1">
        <v>32596.52</v>
      </c>
      <c r="BH14" s="1">
        <v>0</v>
      </c>
      <c r="BI14" s="1">
        <v>3.302225</v>
      </c>
      <c r="BJ14" s="1">
        <v>0</v>
      </c>
      <c r="BK14" s="1">
        <v>880.82349999999997</v>
      </c>
      <c r="BL14" s="1">
        <v>8695921</v>
      </c>
      <c r="BM14" s="1">
        <v>262087200000</v>
      </c>
      <c r="BN14" s="1">
        <v>14515760000</v>
      </c>
      <c r="BO14" s="1">
        <v>105013</v>
      </c>
      <c r="BP14" s="1">
        <v>2438971</v>
      </c>
      <c r="BQ14" s="1">
        <v>60680.33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6.0654030000000003E-6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185604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N14" s="1">
        <f t="shared" si="0"/>
        <v>2.9572112564483178E+19</v>
      </c>
      <c r="DP14" s="1">
        <f t="shared" si="1"/>
        <v>2.6579227246145737E-5</v>
      </c>
      <c r="DQ14" s="1">
        <f t="shared" si="2"/>
        <v>0.98726325136014981</v>
      </c>
      <c r="DR14" s="1">
        <f t="shared" si="3"/>
        <v>1.3393456390251029E-5</v>
      </c>
      <c r="DS14" s="1">
        <f t="shared" si="4"/>
        <v>2.880402264608675E-3</v>
      </c>
      <c r="DT14" s="1">
        <f t="shared" si="5"/>
        <v>9.2642620442692738E-6</v>
      </c>
      <c r="DU14" s="1">
        <f t="shared" si="6"/>
        <v>9.8070741265984529E-3</v>
      </c>
    </row>
    <row r="15" spans="1:231" x14ac:dyDescent="0.2">
      <c r="A15">
        <v>3595.816053</v>
      </c>
      <c r="B15">
        <v>3451.9834099999998</v>
      </c>
      <c r="C15">
        <v>3739.6486949999999</v>
      </c>
      <c r="D15">
        <v>1620.5312200000001</v>
      </c>
      <c r="E15" s="1">
        <v>614985.69999999995</v>
      </c>
      <c r="F15" s="1">
        <v>6898438</v>
      </c>
      <c r="G15" s="1">
        <v>1.7265090000000002E-11</v>
      </c>
      <c r="H15" s="1">
        <v>687372400000000</v>
      </c>
      <c r="I15" s="1">
        <v>290771600000</v>
      </c>
      <c r="J15" s="1">
        <v>235.5693</v>
      </c>
      <c r="K15" s="1">
        <v>7674.1170000000002</v>
      </c>
      <c r="L15" s="1">
        <v>2.306215E+17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6.640371</v>
      </c>
      <c r="Y15" s="1">
        <v>6.787864E+16</v>
      </c>
      <c r="Z15" s="1">
        <v>203803700000000</v>
      </c>
      <c r="AA15" s="1">
        <v>271179600000</v>
      </c>
      <c r="AB15" s="1">
        <v>9293.2029999999995</v>
      </c>
      <c r="AC15" s="1">
        <v>581751100</v>
      </c>
      <c r="AD15" s="1">
        <v>6.9038350000000003E-10</v>
      </c>
      <c r="AE15" s="1">
        <v>8.3376870000000003E-5</v>
      </c>
      <c r="AF15" s="1">
        <v>1285115000</v>
      </c>
      <c r="AG15" s="1">
        <v>97726.2</v>
      </c>
      <c r="AH15" s="1">
        <v>552772800</v>
      </c>
      <c r="AI15" s="1">
        <v>35730.85</v>
      </c>
      <c r="AJ15" s="1">
        <v>1527.229</v>
      </c>
      <c r="AK15" s="1">
        <v>6258.2</v>
      </c>
      <c r="AL15" s="1">
        <v>13147.12</v>
      </c>
      <c r="AM15" s="1">
        <v>12048.47</v>
      </c>
      <c r="AN15" s="1">
        <v>6.8340269999999999</v>
      </c>
      <c r="AO15" s="1">
        <v>2.5585299999999998E-2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218781200000000</v>
      </c>
      <c r="BF15" s="1">
        <v>2.322792E+19</v>
      </c>
      <c r="BG15" s="1">
        <v>31160.12</v>
      </c>
      <c r="BH15" s="1">
        <v>0</v>
      </c>
      <c r="BI15" s="1">
        <v>3.1037650000000001</v>
      </c>
      <c r="BJ15" s="1">
        <v>0</v>
      </c>
      <c r="BK15" s="1">
        <v>601.54110000000003</v>
      </c>
      <c r="BL15" s="1">
        <v>5396373</v>
      </c>
      <c r="BM15" s="1">
        <v>148218900000</v>
      </c>
      <c r="BN15" s="1">
        <v>10171020000</v>
      </c>
      <c r="BO15" s="1">
        <v>58609.25</v>
      </c>
      <c r="BP15" s="1">
        <v>1703686</v>
      </c>
      <c r="BQ15" s="1">
        <v>33810.370000000003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3.309706E-6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114758.39999999999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N15" s="1">
        <f t="shared" si="0"/>
        <v>2.3527530820075176E+19</v>
      </c>
      <c r="DP15" s="1">
        <f t="shared" si="1"/>
        <v>2.9215662504349605E-5</v>
      </c>
      <c r="DQ15" s="1">
        <f t="shared" si="2"/>
        <v>0.98726552215077623</v>
      </c>
      <c r="DR15" s="1">
        <f t="shared" si="3"/>
        <v>8.6623497195082533E-6</v>
      </c>
      <c r="DS15" s="1">
        <f t="shared" si="4"/>
        <v>2.8850728331458247E-3</v>
      </c>
      <c r="DT15" s="1">
        <f t="shared" si="5"/>
        <v>9.2989443589771882E-6</v>
      </c>
      <c r="DU15" s="1">
        <f t="shared" si="6"/>
        <v>9.8021973390942999E-3</v>
      </c>
    </row>
    <row r="16" spans="1:231" x14ac:dyDescent="0.2">
      <c r="A16">
        <v>3883.4813370000002</v>
      </c>
      <c r="B16">
        <v>3739.6486949999999</v>
      </c>
      <c r="C16">
        <v>4027.313979</v>
      </c>
      <c r="D16">
        <v>1619.0772999999999</v>
      </c>
      <c r="E16" s="1">
        <v>488561.8</v>
      </c>
      <c r="F16" s="1">
        <v>6673807</v>
      </c>
      <c r="G16" s="1">
        <v>1.6261519999999999E-11</v>
      </c>
      <c r="H16" s="1">
        <v>604064700000000</v>
      </c>
      <c r="I16" s="1">
        <v>254387400000</v>
      </c>
      <c r="J16" s="1">
        <v>203.1421</v>
      </c>
      <c r="K16" s="1">
        <v>5953.3370000000004</v>
      </c>
      <c r="L16" s="1">
        <v>1.833182E+17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5.0920870000000003</v>
      </c>
      <c r="Y16" s="1">
        <v>5.403066E+16</v>
      </c>
      <c r="Z16" s="1">
        <v>104111100000000</v>
      </c>
      <c r="AA16" s="1">
        <v>171615000000</v>
      </c>
      <c r="AB16" s="1">
        <v>5880.0060000000003</v>
      </c>
      <c r="AC16" s="1">
        <v>294701700</v>
      </c>
      <c r="AD16" s="1">
        <v>3.4151950000000002E-10</v>
      </c>
      <c r="AE16" s="1">
        <v>5.0980709999999999E-5</v>
      </c>
      <c r="AF16" s="1">
        <v>650281700</v>
      </c>
      <c r="AG16" s="1">
        <v>43902.96</v>
      </c>
      <c r="AH16" s="1">
        <v>225002600</v>
      </c>
      <c r="AI16" s="1">
        <v>12907.89</v>
      </c>
      <c r="AJ16" s="1">
        <v>498.59660000000002</v>
      </c>
      <c r="AK16" s="1">
        <v>3500.2</v>
      </c>
      <c r="AL16" s="1">
        <v>6674.7020000000002</v>
      </c>
      <c r="AM16" s="1">
        <v>5425.0590000000002</v>
      </c>
      <c r="AN16" s="1">
        <v>2.7503139999999999</v>
      </c>
      <c r="AO16" s="1">
        <v>9.152749E-3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174427000000000</v>
      </c>
      <c r="BF16" s="1">
        <v>1.846962E+19</v>
      </c>
      <c r="BG16" s="1">
        <v>30143.27</v>
      </c>
      <c r="BH16" s="1">
        <v>0</v>
      </c>
      <c r="BI16" s="1">
        <v>2.965109</v>
      </c>
      <c r="BJ16" s="1">
        <v>0</v>
      </c>
      <c r="BK16" s="1">
        <v>414.64319999999998</v>
      </c>
      <c r="BL16" s="1">
        <v>3362693</v>
      </c>
      <c r="BM16" s="1">
        <v>83674760000</v>
      </c>
      <c r="BN16" s="1">
        <v>7143402000</v>
      </c>
      <c r="BO16" s="1">
        <v>32762.33</v>
      </c>
      <c r="BP16" s="1">
        <v>1193873</v>
      </c>
      <c r="BQ16" s="1">
        <v>18879.25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1.819449E-6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71317.649999999994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N16" s="1">
        <f t="shared" si="0"/>
        <v>1.8707851980802015E+19</v>
      </c>
      <c r="DP16" s="1">
        <f t="shared" si="1"/>
        <v>3.2289367086071171E-5</v>
      </c>
      <c r="DQ16" s="1">
        <f t="shared" si="2"/>
        <v>0.98726566892626211</v>
      </c>
      <c r="DR16" s="1">
        <f t="shared" si="3"/>
        <v>5.5651017608455921E-6</v>
      </c>
      <c r="DS16" s="1">
        <f t="shared" si="4"/>
        <v>2.8881274052973173E-3</v>
      </c>
      <c r="DT16" s="1">
        <f t="shared" si="5"/>
        <v>9.3237320981049495E-6</v>
      </c>
      <c r="DU16" s="1">
        <f t="shared" si="6"/>
        <v>9.7989977784793784E-3</v>
      </c>
    </row>
    <row r="17" spans="1:125" x14ac:dyDescent="0.2">
      <c r="A17">
        <v>4171.1466209999999</v>
      </c>
      <c r="B17">
        <v>4027.313979</v>
      </c>
      <c r="C17">
        <v>4314.9792630000002</v>
      </c>
      <c r="D17">
        <v>1617.993371</v>
      </c>
      <c r="E17" s="1">
        <v>388057</v>
      </c>
      <c r="F17" s="1">
        <v>6511069</v>
      </c>
      <c r="G17" s="1">
        <v>1.5551910000000001E-11</v>
      </c>
      <c r="H17" s="1">
        <v>532708000000000</v>
      </c>
      <c r="I17" s="1">
        <v>223594600000</v>
      </c>
      <c r="J17" s="1">
        <v>176.64599999999999</v>
      </c>
      <c r="K17" s="1">
        <v>4645.7550000000001</v>
      </c>
      <c r="L17" s="1">
        <v>1.456742E+17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3.9396520000000002</v>
      </c>
      <c r="Y17" s="1">
        <v>4.297408E+16</v>
      </c>
      <c r="Z17" s="1">
        <v>52909960000000</v>
      </c>
      <c r="AA17" s="1">
        <v>108479700000</v>
      </c>
      <c r="AB17" s="1">
        <v>3716.386</v>
      </c>
      <c r="AC17" s="1">
        <v>148838500</v>
      </c>
      <c r="AD17" s="1">
        <v>1.6943E-10</v>
      </c>
      <c r="AE17" s="1">
        <v>3.1416179999999998E-5</v>
      </c>
      <c r="AF17" s="1">
        <v>328151400</v>
      </c>
      <c r="AG17" s="1">
        <v>19687.5</v>
      </c>
      <c r="AH17" s="1">
        <v>91032510</v>
      </c>
      <c r="AI17" s="1">
        <v>4639.4449999999997</v>
      </c>
      <c r="AJ17" s="1">
        <v>161.38399999999999</v>
      </c>
      <c r="AK17" s="1">
        <v>1959.6310000000001</v>
      </c>
      <c r="AL17" s="1">
        <v>3376.39</v>
      </c>
      <c r="AM17" s="1">
        <v>2436.5390000000002</v>
      </c>
      <c r="AN17" s="1">
        <v>1.103162</v>
      </c>
      <c r="AO17" s="1">
        <v>3.2651680000000002E-3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138903900000000</v>
      </c>
      <c r="BF17" s="1">
        <v>1.468002E+19</v>
      </c>
      <c r="BG17" s="1">
        <v>29407.599999999999</v>
      </c>
      <c r="BH17" s="1">
        <v>0</v>
      </c>
      <c r="BI17" s="1">
        <v>2.8657219999999999</v>
      </c>
      <c r="BJ17" s="1">
        <v>0</v>
      </c>
      <c r="BK17" s="1">
        <v>287.7201</v>
      </c>
      <c r="BL17" s="1">
        <v>2101665</v>
      </c>
      <c r="BM17" s="1">
        <v>47178440000</v>
      </c>
      <c r="BN17" s="1">
        <v>5025487000</v>
      </c>
      <c r="BO17" s="1">
        <v>18335.02</v>
      </c>
      <c r="BP17" s="1">
        <v>838532.2</v>
      </c>
      <c r="BQ17" s="1">
        <v>10558.34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1.0055200000000001E-6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44483.35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N17" s="1">
        <f t="shared" si="0"/>
        <v>1.4869393186715843E+19</v>
      </c>
      <c r="DP17" s="1">
        <f t="shared" si="1"/>
        <v>3.5825806292883266E-5</v>
      </c>
      <c r="DQ17" s="1">
        <f t="shared" si="2"/>
        <v>0.98726422898783617</v>
      </c>
      <c r="DR17" s="1">
        <f t="shared" si="3"/>
        <v>3.5583133309884626E-6</v>
      </c>
      <c r="DS17" s="1">
        <f t="shared" si="4"/>
        <v>2.8901031441143535E-3</v>
      </c>
      <c r="DT17" s="1">
        <f t="shared" si="5"/>
        <v>9.3415984267666864E-6</v>
      </c>
      <c r="DU17" s="1">
        <f t="shared" si="6"/>
        <v>9.7969162675813678E-3</v>
      </c>
    </row>
    <row r="18" spans="1:125" x14ac:dyDescent="0.2">
      <c r="A18">
        <v>4458.8119049999996</v>
      </c>
      <c r="B18">
        <v>4314.9792630000002</v>
      </c>
      <c r="C18">
        <v>4602.6445469999999</v>
      </c>
      <c r="D18">
        <v>1617.062782</v>
      </c>
      <c r="E18" s="1">
        <v>308183.59999999998</v>
      </c>
      <c r="F18" s="1">
        <v>6374648</v>
      </c>
      <c r="G18" s="1">
        <v>1.49688E-11</v>
      </c>
      <c r="H18" s="1">
        <v>470442800000000</v>
      </c>
      <c r="I18" s="1">
        <v>196907000000</v>
      </c>
      <c r="J18" s="1">
        <v>154.1404</v>
      </c>
      <c r="K18" s="1">
        <v>3634.192</v>
      </c>
      <c r="L18" s="1">
        <v>1.157414E+17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3.0587240000000002</v>
      </c>
      <c r="Y18" s="1">
        <v>3.416349E+16</v>
      </c>
      <c r="Z18" s="1">
        <v>26823350000000</v>
      </c>
      <c r="AA18" s="1">
        <v>68522400000</v>
      </c>
      <c r="AB18" s="1">
        <v>2347.3739999999998</v>
      </c>
      <c r="AC18" s="1">
        <v>75055010</v>
      </c>
      <c r="AD18" s="1">
        <v>8.4135000000000002E-11</v>
      </c>
      <c r="AE18" s="1">
        <v>1.9414780000000001E-5</v>
      </c>
      <c r="AF18" s="1">
        <v>165331500</v>
      </c>
      <c r="AG18" s="1">
        <v>8817.4959999999992</v>
      </c>
      <c r="AH18" s="1">
        <v>36718470</v>
      </c>
      <c r="AI18" s="1">
        <v>1663.1030000000001</v>
      </c>
      <c r="AJ18" s="1">
        <v>52.021659999999997</v>
      </c>
      <c r="AK18" s="1">
        <v>1097.1769999999999</v>
      </c>
      <c r="AL18" s="1">
        <v>1704.68</v>
      </c>
      <c r="AM18" s="1">
        <v>1092.6849999999999</v>
      </c>
      <c r="AN18" s="1">
        <v>0.44166280000000002</v>
      </c>
      <c r="AO18" s="1">
        <v>1.162876E-3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110547600000000</v>
      </c>
      <c r="BF18" s="1">
        <v>1.166518E+19</v>
      </c>
      <c r="BG18" s="1">
        <v>28792.25</v>
      </c>
      <c r="BH18" s="1">
        <v>0</v>
      </c>
      <c r="BI18" s="1">
        <v>2.7830849999999998</v>
      </c>
      <c r="BJ18" s="1">
        <v>0</v>
      </c>
      <c r="BK18" s="1">
        <v>200.15610000000001</v>
      </c>
      <c r="BL18" s="1">
        <v>1314825</v>
      </c>
      <c r="BM18" s="1">
        <v>26579550000</v>
      </c>
      <c r="BN18" s="1">
        <v>3537283000</v>
      </c>
      <c r="BO18" s="1">
        <v>10263.379999999999</v>
      </c>
      <c r="BP18" s="1">
        <v>589413.30000000005</v>
      </c>
      <c r="BQ18" s="1">
        <v>5906.1009999999997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5.5678929999999995E-7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27781.09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N18" s="1">
        <f t="shared" si="0"/>
        <v>1.1815692999581712E+19</v>
      </c>
      <c r="DP18" s="1">
        <f t="shared" si="1"/>
        <v>3.9815083213202487E-5</v>
      </c>
      <c r="DQ18" s="1">
        <f t="shared" si="2"/>
        <v>0.98726160204170499</v>
      </c>
      <c r="DR18" s="1">
        <f t="shared" si="3"/>
        <v>2.2701461523204417E-6</v>
      </c>
      <c r="DS18" s="1">
        <f t="shared" si="4"/>
        <v>2.8913657456409391E-3</v>
      </c>
      <c r="DT18" s="1">
        <f t="shared" si="5"/>
        <v>9.3559979938471233E-6</v>
      </c>
      <c r="DU18" s="1">
        <f t="shared" si="6"/>
        <v>9.795565948107942E-3</v>
      </c>
    </row>
    <row r="19" spans="1:125" x14ac:dyDescent="0.2">
      <c r="A19">
        <v>4746.4771890000002</v>
      </c>
      <c r="B19">
        <v>4602.6445469999999</v>
      </c>
      <c r="C19">
        <v>4890.3098309999996</v>
      </c>
      <c r="D19">
        <v>1615.742146</v>
      </c>
      <c r="E19" s="1">
        <v>244711</v>
      </c>
      <c r="F19" s="1">
        <v>6186334</v>
      </c>
      <c r="G19" s="1">
        <v>1.418206E-11</v>
      </c>
      <c r="H19" s="1">
        <v>413837300000000</v>
      </c>
      <c r="I19" s="1">
        <v>172543900000</v>
      </c>
      <c r="J19" s="1">
        <v>133.3321</v>
      </c>
      <c r="K19" s="1">
        <v>2824.989</v>
      </c>
      <c r="L19" s="1">
        <v>9.197086E+16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2.3497509999999999</v>
      </c>
      <c r="Y19" s="1">
        <v>2.715696E+16</v>
      </c>
      <c r="Z19" s="1">
        <v>13648650000000</v>
      </c>
      <c r="AA19" s="1">
        <v>43281230000</v>
      </c>
      <c r="AB19" s="1">
        <v>1482.7329999999999</v>
      </c>
      <c r="AC19" s="1">
        <v>37907320</v>
      </c>
      <c r="AD19" s="1">
        <v>4.1593799999999998E-11</v>
      </c>
      <c r="AE19" s="1">
        <v>1.1870839999999999E-5</v>
      </c>
      <c r="AF19" s="1">
        <v>83316580</v>
      </c>
      <c r="AG19" s="1">
        <v>3945.3229999999999</v>
      </c>
      <c r="AH19" s="1">
        <v>14860960</v>
      </c>
      <c r="AI19" s="1">
        <v>597.46029999999996</v>
      </c>
      <c r="AJ19" s="1">
        <v>16.86786</v>
      </c>
      <c r="AK19" s="1">
        <v>612.28240000000005</v>
      </c>
      <c r="AL19" s="1">
        <v>861.9366</v>
      </c>
      <c r="AM19" s="1">
        <v>490.0933</v>
      </c>
      <c r="AN19" s="1">
        <v>0.17696799999999999</v>
      </c>
      <c r="AO19" s="1">
        <v>4.141436E-4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88022960000000</v>
      </c>
      <c r="BF19" s="1">
        <v>9.270228E+18</v>
      </c>
      <c r="BG19" s="1">
        <v>27945.77</v>
      </c>
      <c r="BH19" s="1">
        <v>0</v>
      </c>
      <c r="BI19" s="1">
        <v>2.6700110000000001</v>
      </c>
      <c r="BJ19" s="1">
        <v>0</v>
      </c>
      <c r="BK19" s="1">
        <v>138.07830000000001</v>
      </c>
      <c r="BL19" s="1">
        <v>818760.3</v>
      </c>
      <c r="BM19" s="1">
        <v>14969720000</v>
      </c>
      <c r="BN19" s="1">
        <v>2482569000</v>
      </c>
      <c r="BO19" s="1">
        <v>5730.0959999999995</v>
      </c>
      <c r="BP19" s="1">
        <v>412911.6</v>
      </c>
      <c r="BQ19" s="1">
        <v>3289.9630000000002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3.0618039999999997E-7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17257.12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N19" s="1">
        <f t="shared" si="0"/>
        <v>9.3898715623309906E+18</v>
      </c>
      <c r="DP19" s="1">
        <f t="shared" si="1"/>
        <v>4.40727327581536E-5</v>
      </c>
      <c r="DQ19" s="1">
        <f t="shared" si="2"/>
        <v>0.98725823228392595</v>
      </c>
      <c r="DR19" s="1">
        <f t="shared" si="3"/>
        <v>1.4535502332911345E-6</v>
      </c>
      <c r="DS19" s="1">
        <f t="shared" si="4"/>
        <v>2.8921545752494207E-3</v>
      </c>
      <c r="DT19" s="1">
        <f t="shared" si="5"/>
        <v>9.3742453680749525E-6</v>
      </c>
      <c r="DU19" s="1">
        <f t="shared" si="6"/>
        <v>9.794687753659612E-3</v>
      </c>
    </row>
    <row r="20" spans="1:125" x14ac:dyDescent="0.2">
      <c r="A20">
        <v>5034.1424740000002</v>
      </c>
      <c r="B20">
        <v>4890.3098309999996</v>
      </c>
      <c r="C20">
        <v>5177.9751159999996</v>
      </c>
      <c r="D20">
        <v>1612.8117440000001</v>
      </c>
      <c r="E20" s="1">
        <v>194251.8</v>
      </c>
      <c r="F20" s="1">
        <v>5787862</v>
      </c>
      <c r="G20" s="1">
        <v>1.2581979999999999E-11</v>
      </c>
      <c r="H20" s="1">
        <v>358283800000000</v>
      </c>
      <c r="I20" s="1">
        <v>148118200000</v>
      </c>
      <c r="J20" s="1">
        <v>111.2242</v>
      </c>
      <c r="K20" s="1">
        <v>2139.431</v>
      </c>
      <c r="L20" s="1">
        <v>7.31351E+16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1.7294959999999999</v>
      </c>
      <c r="Y20" s="1">
        <v>2.15999E+16</v>
      </c>
      <c r="Z20" s="1">
        <v>7063699000000</v>
      </c>
      <c r="AA20" s="1">
        <v>27368920000</v>
      </c>
      <c r="AB20" s="1">
        <v>937.80079999999998</v>
      </c>
      <c r="AC20" s="1">
        <v>19299760</v>
      </c>
      <c r="AD20" s="1">
        <v>2.0214590000000001E-11</v>
      </c>
      <c r="AE20" s="1">
        <v>6.9607850000000001E-6</v>
      </c>
      <c r="AF20" s="1">
        <v>42133070</v>
      </c>
      <c r="AG20" s="1">
        <v>1763.2260000000001</v>
      </c>
      <c r="AH20" s="1">
        <v>6117800</v>
      </c>
      <c r="AI20" s="1">
        <v>217.2415</v>
      </c>
      <c r="AJ20" s="1">
        <v>5.6211180000000001</v>
      </c>
      <c r="AK20" s="1">
        <v>337.78489999999999</v>
      </c>
      <c r="AL20" s="1">
        <v>439.49790000000002</v>
      </c>
      <c r="AM20" s="1">
        <v>220.49080000000001</v>
      </c>
      <c r="AN20" s="1">
        <v>7.1335480000000007E-2</v>
      </c>
      <c r="AO20" s="1">
        <v>1.4790619999999999E-4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70281990000000</v>
      </c>
      <c r="BF20" s="1">
        <v>7.372081E+18</v>
      </c>
      <c r="BG20" s="1">
        <v>26157.77</v>
      </c>
      <c r="BH20" s="1">
        <v>0</v>
      </c>
      <c r="BI20" s="1">
        <v>2.4349789999999998</v>
      </c>
      <c r="BJ20" s="1">
        <v>0</v>
      </c>
      <c r="BK20" s="1">
        <v>92.117580000000004</v>
      </c>
      <c r="BL20" s="1">
        <v>500845.4</v>
      </c>
      <c r="BM20" s="1">
        <v>8432901000</v>
      </c>
      <c r="BN20" s="1">
        <v>1723484000</v>
      </c>
      <c r="BO20" s="1">
        <v>3168.92</v>
      </c>
      <c r="BP20" s="1">
        <v>285531.90000000002</v>
      </c>
      <c r="BQ20" s="1">
        <v>1805.6110000000001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1.6382250000000001E-7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10498.69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N20" s="1">
        <f t="shared" si="0"/>
        <v>7.4672518152066785E+18</v>
      </c>
      <c r="DP20" s="1">
        <f t="shared" si="1"/>
        <v>4.7980677345094115E-5</v>
      </c>
      <c r="DQ20" s="1">
        <f t="shared" si="2"/>
        <v>0.98725490748646405</v>
      </c>
      <c r="DR20" s="1">
        <f t="shared" si="3"/>
        <v>9.4595698321236953E-7</v>
      </c>
      <c r="DS20" s="1">
        <f t="shared" si="4"/>
        <v>2.8926170610736471E-3</v>
      </c>
      <c r="DT20" s="1">
        <f t="shared" si="5"/>
        <v>9.4120289149582851E-6</v>
      </c>
      <c r="DU20" s="1">
        <f t="shared" si="6"/>
        <v>9.7941119182647744E-3</v>
      </c>
    </row>
    <row r="21" spans="1:125" x14ac:dyDescent="0.2">
      <c r="A21">
        <v>5321.8077579999999</v>
      </c>
      <c r="B21">
        <v>5177.9751159999996</v>
      </c>
      <c r="C21">
        <v>5465.6404000000002</v>
      </c>
      <c r="D21">
        <v>1606.3933360000001</v>
      </c>
      <c r="E21" s="1">
        <v>154093.70000000001</v>
      </c>
      <c r="F21" s="1">
        <v>4998595</v>
      </c>
      <c r="G21" s="1">
        <v>9.667525E-12</v>
      </c>
      <c r="H21" s="1">
        <v>299561900000000</v>
      </c>
      <c r="I21" s="1">
        <v>121556300000</v>
      </c>
      <c r="J21" s="1">
        <v>85.701440000000005</v>
      </c>
      <c r="K21" s="1">
        <v>1530.3040000000001</v>
      </c>
      <c r="L21" s="1">
        <v>5.824522E+16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1.159599</v>
      </c>
      <c r="Y21" s="1">
        <v>1.720433E+16</v>
      </c>
      <c r="Z21" s="1">
        <v>3794631000000</v>
      </c>
      <c r="AA21" s="1">
        <v>17352140000</v>
      </c>
      <c r="AB21" s="1">
        <v>594.89290000000005</v>
      </c>
      <c r="AC21" s="1">
        <v>10001750</v>
      </c>
      <c r="AD21" s="1">
        <v>9.4649069999999994E-12</v>
      </c>
      <c r="AE21" s="1">
        <v>3.7272020000000001E-6</v>
      </c>
      <c r="AF21" s="1">
        <v>21482470</v>
      </c>
      <c r="AG21" s="1">
        <v>786.46230000000003</v>
      </c>
      <c r="AH21" s="1">
        <v>2615454</v>
      </c>
      <c r="AI21" s="1">
        <v>81.151669999999996</v>
      </c>
      <c r="AJ21" s="1">
        <v>1.989592</v>
      </c>
      <c r="AK21" s="1">
        <v>181.80279999999999</v>
      </c>
      <c r="AL21" s="1">
        <v>228.34440000000001</v>
      </c>
      <c r="AM21" s="1">
        <v>99.901610000000005</v>
      </c>
      <c r="AN21" s="1">
        <v>2.9146149999999999E-2</v>
      </c>
      <c r="AO21" s="1">
        <v>5.3169759999999998E-5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56462640000000</v>
      </c>
      <c r="BF21" s="1">
        <v>5.871402E+18</v>
      </c>
      <c r="BG21" s="1">
        <v>22615.51</v>
      </c>
      <c r="BH21" s="1">
        <v>0</v>
      </c>
      <c r="BI21" s="1">
        <v>1.987768</v>
      </c>
      <c r="BJ21" s="1">
        <v>0</v>
      </c>
      <c r="BK21" s="1">
        <v>57.133029999999998</v>
      </c>
      <c r="BL21" s="1">
        <v>294735.09999999998</v>
      </c>
      <c r="BM21" s="1">
        <v>4753925000</v>
      </c>
      <c r="BN21" s="1">
        <v>1168561000</v>
      </c>
      <c r="BO21" s="1">
        <v>1716.713</v>
      </c>
      <c r="BP21" s="1">
        <v>191942.3</v>
      </c>
      <c r="BQ21" s="1">
        <v>959.85419999999999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8.2571200000000003E-8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6104.0749999999998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N21" s="1">
        <f t="shared" si="0"/>
        <v>5.9472115140415468E+18</v>
      </c>
      <c r="DP21" s="1">
        <f t="shared" si="1"/>
        <v>5.0370143939344561E-5</v>
      </c>
      <c r="DQ21" s="1">
        <f t="shared" si="2"/>
        <v>0.98725293124978686</v>
      </c>
      <c r="DR21" s="1">
        <f t="shared" si="3"/>
        <v>6.3805213435586764E-7</v>
      </c>
      <c r="DS21" s="1">
        <f t="shared" si="4"/>
        <v>2.8928397719469126E-3</v>
      </c>
      <c r="DT21" s="1">
        <f t="shared" si="5"/>
        <v>9.4939687056177491E-6</v>
      </c>
      <c r="DU21" s="1">
        <f t="shared" si="6"/>
        <v>9.7937024540797422E-3</v>
      </c>
    </row>
    <row r="22" spans="1:125" x14ac:dyDescent="0.2">
      <c r="A22">
        <v>5609.4730419999996</v>
      </c>
      <c r="B22">
        <v>5465.6404000000002</v>
      </c>
      <c r="C22">
        <v>5753.3056839999999</v>
      </c>
      <c r="D22">
        <v>1594.696054</v>
      </c>
      <c r="E22" s="1">
        <v>122077.6</v>
      </c>
      <c r="F22" s="1">
        <v>3815515</v>
      </c>
      <c r="G22" s="1">
        <v>5.9504889999999998E-12</v>
      </c>
      <c r="H22" s="1">
        <v>237328000000000</v>
      </c>
      <c r="I22" s="1">
        <v>93048910000</v>
      </c>
      <c r="J22" s="1">
        <v>58.414140000000003</v>
      </c>
      <c r="K22" s="1">
        <v>1002.022</v>
      </c>
      <c r="L22" s="1">
        <v>4.648045E+16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0.67332219999999998</v>
      </c>
      <c r="Y22" s="1">
        <v>1.37299E+16</v>
      </c>
      <c r="Z22" s="1">
        <v>2158597000000</v>
      </c>
      <c r="AA22" s="1">
        <v>11041420000</v>
      </c>
      <c r="AB22" s="1">
        <v>379.03660000000002</v>
      </c>
      <c r="AC22" s="1">
        <v>5325689</v>
      </c>
      <c r="AD22" s="1">
        <v>4.1825469999999997E-12</v>
      </c>
      <c r="AE22" s="1">
        <v>1.7351159999999999E-6</v>
      </c>
      <c r="AF22" s="1">
        <v>11095680</v>
      </c>
      <c r="AG22" s="1">
        <v>349.7457</v>
      </c>
      <c r="AH22" s="1">
        <v>1185313</v>
      </c>
      <c r="AI22" s="1">
        <v>31.60097</v>
      </c>
      <c r="AJ22" s="1">
        <v>0.77275150000000004</v>
      </c>
      <c r="AK22" s="1">
        <v>94.181880000000007</v>
      </c>
      <c r="AL22" s="1">
        <v>122.11450000000001</v>
      </c>
      <c r="AM22" s="1">
        <v>45.747210000000003</v>
      </c>
      <c r="AN22" s="1">
        <v>1.215635E-2</v>
      </c>
      <c r="AO22" s="1">
        <v>1.9301490000000001E-5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45789890000000</v>
      </c>
      <c r="BF22" s="1">
        <v>4.685621E+18</v>
      </c>
      <c r="BG22" s="1">
        <v>17298.580000000002</v>
      </c>
      <c r="BH22" s="1">
        <v>0</v>
      </c>
      <c r="BI22" s="1">
        <v>1.367694</v>
      </c>
      <c r="BJ22" s="1">
        <v>0</v>
      </c>
      <c r="BK22" s="1">
        <v>31.662089999999999</v>
      </c>
      <c r="BL22" s="1">
        <v>163353.29999999999</v>
      </c>
      <c r="BM22" s="1">
        <v>2682246000</v>
      </c>
      <c r="BN22" s="1">
        <v>763659100</v>
      </c>
      <c r="BO22" s="1">
        <v>900.53560000000004</v>
      </c>
      <c r="BP22" s="1">
        <v>123492.9</v>
      </c>
      <c r="BQ22" s="1">
        <v>485.8485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3.7941149999999997E-8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3308.5360000000001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N22" s="1">
        <f t="shared" si="0"/>
        <v>4.746116734044969E+18</v>
      </c>
      <c r="DP22" s="1">
        <f t="shared" si="1"/>
        <v>5.0004669775101101E-5</v>
      </c>
      <c r="DQ22" s="1">
        <f t="shared" si="2"/>
        <v>0.98725363545927569</v>
      </c>
      <c r="DR22" s="1">
        <f t="shared" si="3"/>
        <v>4.5481329705101762E-7</v>
      </c>
      <c r="DS22" s="1">
        <f t="shared" si="4"/>
        <v>2.8928702704491696E-3</v>
      </c>
      <c r="DT22" s="1">
        <f t="shared" si="5"/>
        <v>9.6478642574336104E-6</v>
      </c>
      <c r="DU22" s="1">
        <f t="shared" si="6"/>
        <v>9.7933642606354825E-3</v>
      </c>
    </row>
    <row r="23" spans="1:125" x14ac:dyDescent="0.2">
      <c r="A23">
        <v>5897.1383260000002</v>
      </c>
      <c r="B23">
        <v>5753.3056839999999</v>
      </c>
      <c r="C23">
        <v>6040.9709679999996</v>
      </c>
      <c r="D23">
        <v>1576.878708</v>
      </c>
      <c r="E23" s="1">
        <v>96503.71</v>
      </c>
      <c r="F23" s="1">
        <v>2509690</v>
      </c>
      <c r="G23" s="1">
        <v>2.8036150000000001E-12</v>
      </c>
      <c r="H23" s="1">
        <v>176153700000000</v>
      </c>
      <c r="I23" s="1">
        <v>65468950000</v>
      </c>
      <c r="J23" s="1">
        <v>34.3337</v>
      </c>
      <c r="K23" s="1">
        <v>589.4828</v>
      </c>
      <c r="L23" s="1">
        <v>3.715714E+16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0.32875330000000003</v>
      </c>
      <c r="Y23" s="1">
        <v>1.097575E+16</v>
      </c>
      <c r="Z23" s="1">
        <v>1314483000000</v>
      </c>
      <c r="AA23" s="1">
        <v>7048803000</v>
      </c>
      <c r="AB23" s="1">
        <v>242.60310000000001</v>
      </c>
      <c r="AC23" s="1">
        <v>2927628</v>
      </c>
      <c r="AD23" s="1">
        <v>1.721743E-12</v>
      </c>
      <c r="AE23" s="1">
        <v>6.8249480000000001E-7</v>
      </c>
      <c r="AF23" s="1">
        <v>5820434</v>
      </c>
      <c r="AG23" s="1">
        <v>154.91319999999999</v>
      </c>
      <c r="AH23" s="1">
        <v>575993.9</v>
      </c>
      <c r="AI23" s="1">
        <v>12.92679</v>
      </c>
      <c r="AJ23" s="1">
        <v>0.33536050000000001</v>
      </c>
      <c r="AK23" s="1">
        <v>46.567610000000002</v>
      </c>
      <c r="AL23" s="1">
        <v>67.571669999999997</v>
      </c>
      <c r="AM23" s="1">
        <v>21.19548</v>
      </c>
      <c r="AN23" s="1">
        <v>5.1917170000000002E-3</v>
      </c>
      <c r="AO23" s="1">
        <v>7.080085E-6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37543180000000</v>
      </c>
      <c r="BF23" s="1">
        <v>3.745897E+18</v>
      </c>
      <c r="BG23" s="1">
        <v>11415.34</v>
      </c>
      <c r="BH23" s="1">
        <v>0</v>
      </c>
      <c r="BI23" s="1">
        <v>0.76577850000000003</v>
      </c>
      <c r="BJ23" s="1">
        <v>0</v>
      </c>
      <c r="BK23" s="1">
        <v>15.31681</v>
      </c>
      <c r="BL23" s="1">
        <v>84183.71</v>
      </c>
      <c r="BM23" s="1">
        <v>1513836000</v>
      </c>
      <c r="BN23" s="1">
        <v>476940200</v>
      </c>
      <c r="BO23" s="1">
        <v>453.93450000000001</v>
      </c>
      <c r="BP23" s="1">
        <v>75308.25</v>
      </c>
      <c r="BQ23" s="1">
        <v>231.8228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1.5576939999999999E-8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1646.973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N23" s="1">
        <f t="shared" si="0"/>
        <v>3.7942449758835369E+18</v>
      </c>
      <c r="DP23" s="1">
        <f t="shared" si="1"/>
        <v>4.6426548923341574E-5</v>
      </c>
      <c r="DQ23" s="1">
        <f t="shared" si="2"/>
        <v>0.98725755026603723</v>
      </c>
      <c r="DR23" s="1">
        <f t="shared" si="3"/>
        <v>3.4644125731336215E-7</v>
      </c>
      <c r="DS23" s="1">
        <f t="shared" si="4"/>
        <v>2.8927362544491899E-3</v>
      </c>
      <c r="DT23" s="1">
        <f t="shared" si="5"/>
        <v>9.894769641556316E-6</v>
      </c>
      <c r="DU23" s="1">
        <f t="shared" si="6"/>
        <v>9.7930260792787899E-3</v>
      </c>
    </row>
    <row r="24" spans="1:125" x14ac:dyDescent="0.2">
      <c r="A24">
        <v>6184.8036099999999</v>
      </c>
      <c r="B24">
        <v>6040.9709679999996</v>
      </c>
      <c r="C24">
        <v>6328.6362520000002</v>
      </c>
      <c r="D24">
        <v>1553.292031</v>
      </c>
      <c r="E24" s="1">
        <v>76049.52</v>
      </c>
      <c r="F24" s="1">
        <v>1419954</v>
      </c>
      <c r="G24" s="1">
        <v>1.0079659999999999E-12</v>
      </c>
      <c r="H24" s="1">
        <v>122324800000000</v>
      </c>
      <c r="I24" s="1">
        <v>42277030000</v>
      </c>
      <c r="J24" s="1">
        <v>17.362760000000002</v>
      </c>
      <c r="K24" s="1">
        <v>310.85219999999998</v>
      </c>
      <c r="L24" s="1">
        <v>2.972501E+16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0.13472590000000001</v>
      </c>
      <c r="Y24" s="1">
        <v>8779903000000000</v>
      </c>
      <c r="Z24" s="1">
        <v>855725500000</v>
      </c>
      <c r="AA24" s="1">
        <v>4505309000</v>
      </c>
      <c r="AB24" s="1">
        <v>155.60990000000001</v>
      </c>
      <c r="AC24" s="1">
        <v>1658413</v>
      </c>
      <c r="AD24" s="1">
        <v>6.576384E-13</v>
      </c>
      <c r="AE24" s="1">
        <v>2.2646260000000001E-7</v>
      </c>
      <c r="AF24" s="1">
        <v>3098018</v>
      </c>
      <c r="AG24" s="1">
        <v>68.238929999999996</v>
      </c>
      <c r="AH24" s="1">
        <v>299719.7</v>
      </c>
      <c r="AI24" s="1">
        <v>5.5435590000000001</v>
      </c>
      <c r="AJ24" s="1">
        <v>0.16228860000000001</v>
      </c>
      <c r="AK24" s="1">
        <v>21.930299999999999</v>
      </c>
      <c r="AL24" s="1">
        <v>38.62106</v>
      </c>
      <c r="AM24" s="1">
        <v>9.9113089999999993</v>
      </c>
      <c r="AN24" s="1">
        <v>2.2634949999999999E-3</v>
      </c>
      <c r="AO24" s="1">
        <v>2.614671E-6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31083660000000</v>
      </c>
      <c r="BF24" s="1">
        <v>2.996782E+18</v>
      </c>
      <c r="BG24" s="1">
        <v>6487.308</v>
      </c>
      <c r="BH24" s="1">
        <v>0</v>
      </c>
      <c r="BI24" s="1">
        <v>0.34808499999999998</v>
      </c>
      <c r="BJ24" s="1">
        <v>0</v>
      </c>
      <c r="BK24" s="1">
        <v>6.4556079999999998</v>
      </c>
      <c r="BL24" s="1">
        <v>40271</v>
      </c>
      <c r="BM24" s="1">
        <v>853398800</v>
      </c>
      <c r="BN24" s="1">
        <v>284102200</v>
      </c>
      <c r="BO24" s="1">
        <v>219.2398</v>
      </c>
      <c r="BP24" s="1">
        <v>43428.03</v>
      </c>
      <c r="BQ24" s="1">
        <v>104.16249999999999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5.690942E-9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751.61770000000001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N24" s="1">
        <f t="shared" si="0"/>
        <v>3.0354412251119078E+18</v>
      </c>
      <c r="DP24" s="1">
        <f t="shared" si="1"/>
        <v>4.0298853091938961E-5</v>
      </c>
      <c r="DQ24" s="1">
        <f t="shared" si="2"/>
        <v>0.98726405084305902</v>
      </c>
      <c r="DR24" s="1">
        <f t="shared" si="3"/>
        <v>2.8191140481346394E-7</v>
      </c>
      <c r="DS24" s="1">
        <f t="shared" si="4"/>
        <v>2.8924635164617003E-3</v>
      </c>
      <c r="DT24" s="1">
        <f t="shared" si="5"/>
        <v>1.0240244397700054E-5</v>
      </c>
      <c r="DU24" s="1">
        <f t="shared" si="6"/>
        <v>9.7926488426420197E-3</v>
      </c>
    </row>
    <row r="25" spans="1:125" x14ac:dyDescent="0.2">
      <c r="A25">
        <v>6472.468895</v>
      </c>
      <c r="B25">
        <v>6328.6362520000002</v>
      </c>
      <c r="C25">
        <v>6616.3015370000003</v>
      </c>
      <c r="D25">
        <v>1525.512561</v>
      </c>
      <c r="E25" s="1">
        <v>59691.91</v>
      </c>
      <c r="F25" s="1">
        <v>709617.8</v>
      </c>
      <c r="G25" s="1">
        <v>2.9004110000000002E-13</v>
      </c>
      <c r="H25" s="1">
        <v>80343850000000</v>
      </c>
      <c r="I25" s="1">
        <v>25417330000</v>
      </c>
      <c r="J25" s="1">
        <v>7.7515989999999997</v>
      </c>
      <c r="K25" s="1">
        <v>149.5702</v>
      </c>
      <c r="L25" s="1">
        <v>2.375512E+16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4.7843690000000001E-2</v>
      </c>
      <c r="Y25" s="1">
        <v>7015951000000000</v>
      </c>
      <c r="Z25" s="1">
        <v>587394300000</v>
      </c>
      <c r="AA25" s="1">
        <v>2873729000</v>
      </c>
      <c r="AB25" s="1">
        <v>99.683769999999996</v>
      </c>
      <c r="AC25" s="1">
        <v>961031.1</v>
      </c>
      <c r="AD25" s="1">
        <v>2.3527099999999999E-13</v>
      </c>
      <c r="AE25" s="1">
        <v>6.5453750000000005E-8</v>
      </c>
      <c r="AF25" s="1">
        <v>1669663</v>
      </c>
      <c r="AG25" s="1">
        <v>29.917549999999999</v>
      </c>
      <c r="AH25" s="1">
        <v>164843.1</v>
      </c>
      <c r="AI25" s="1">
        <v>2.46753</v>
      </c>
      <c r="AJ25" s="1">
        <v>8.570374E-2</v>
      </c>
      <c r="AK25" s="1">
        <v>9.9097500000000007</v>
      </c>
      <c r="AL25" s="1">
        <v>22.628799999999998</v>
      </c>
      <c r="AM25" s="1">
        <v>4.6576389999999996</v>
      </c>
      <c r="AN25" s="1">
        <v>1.0003729999999999E-3</v>
      </c>
      <c r="AO25" s="1">
        <v>9.670969E-7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25901500000000</v>
      </c>
      <c r="BF25" s="1">
        <v>2.395043E+18</v>
      </c>
      <c r="BG25" s="1">
        <v>3259.5309999999999</v>
      </c>
      <c r="BH25" s="1">
        <v>0</v>
      </c>
      <c r="BI25" s="1">
        <v>0.13325799999999999</v>
      </c>
      <c r="BJ25" s="1">
        <v>0</v>
      </c>
      <c r="BK25" s="1">
        <v>2.429503</v>
      </c>
      <c r="BL25" s="1">
        <v>18110.25</v>
      </c>
      <c r="BM25" s="1">
        <v>480036000</v>
      </c>
      <c r="BN25" s="1">
        <v>162393200</v>
      </c>
      <c r="BO25" s="1">
        <v>101.9127</v>
      </c>
      <c r="BP25" s="1">
        <v>23862.560000000001</v>
      </c>
      <c r="BQ25" s="1">
        <v>44.597430000000003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1.8817760000000001E-9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319.17439999999999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N25" s="1">
        <f t="shared" si="0"/>
        <v>2.4259209326813389E+18</v>
      </c>
      <c r="DP25" s="1">
        <f t="shared" si="1"/>
        <v>3.3118907099415225E-5</v>
      </c>
      <c r="DQ25" s="1">
        <f t="shared" si="2"/>
        <v>0.98727166567328728</v>
      </c>
      <c r="DR25" s="1">
        <f t="shared" si="3"/>
        <v>2.4213249990417482E-7</v>
      </c>
      <c r="DS25" s="1">
        <f t="shared" si="4"/>
        <v>2.8920773572967858E-3</v>
      </c>
      <c r="DT25" s="1">
        <f t="shared" si="5"/>
        <v>1.0676976174722813E-5</v>
      </c>
      <c r="DU25" s="1">
        <f t="shared" si="6"/>
        <v>9.7922070253723299E-3</v>
      </c>
    </row>
    <row r="26" spans="1:125" x14ac:dyDescent="0.2">
      <c r="A26">
        <v>6760.1341789999997</v>
      </c>
      <c r="B26">
        <v>6616.3015370000003</v>
      </c>
      <c r="C26">
        <v>6903.966821</v>
      </c>
      <c r="D26">
        <v>1495.964749</v>
      </c>
      <c r="E26" s="1">
        <v>46637.2</v>
      </c>
      <c r="F26" s="1">
        <v>329778.3</v>
      </c>
      <c r="G26" s="1">
        <v>7.3275530000000001E-14</v>
      </c>
      <c r="H26" s="1">
        <v>51015560000000</v>
      </c>
      <c r="I26" s="1">
        <v>14636380000</v>
      </c>
      <c r="J26" s="1">
        <v>3.2135929999999999</v>
      </c>
      <c r="K26" s="1">
        <v>68.054220000000001</v>
      </c>
      <c r="L26" s="1">
        <v>1.892541E+16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1.5748419999999999E-2</v>
      </c>
      <c r="Y26" s="1">
        <v>5588895000000000</v>
      </c>
      <c r="Z26" s="1">
        <v>417306700000</v>
      </c>
      <c r="AA26" s="1">
        <v>1822230000</v>
      </c>
      <c r="AB26" s="1">
        <v>63.528120000000001</v>
      </c>
      <c r="AC26" s="1">
        <v>566283.19999999995</v>
      </c>
      <c r="AD26" s="1">
        <v>8.0663619999999999E-14</v>
      </c>
      <c r="AE26" s="1">
        <v>1.7719280000000001E-8</v>
      </c>
      <c r="AF26" s="1">
        <v>918418.7</v>
      </c>
      <c r="AG26" s="1">
        <v>13.24056</v>
      </c>
      <c r="AH26" s="1">
        <v>94692.28</v>
      </c>
      <c r="AI26" s="1">
        <v>1.133786</v>
      </c>
      <c r="AJ26" s="1">
        <v>4.8081289999999999E-2</v>
      </c>
      <c r="AK26" s="1">
        <v>4.391286</v>
      </c>
      <c r="AL26" s="1">
        <v>13.51019</v>
      </c>
      <c r="AM26" s="1">
        <v>2.2003029999999999</v>
      </c>
      <c r="AN26" s="1">
        <v>4.4626950000000001E-4</v>
      </c>
      <c r="AO26" s="1">
        <v>3.5824569999999999E-7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21614340000000</v>
      </c>
      <c r="BF26" s="1">
        <v>1.908211E+18</v>
      </c>
      <c r="BG26" s="1">
        <v>1523.8679999999999</v>
      </c>
      <c r="BH26" s="1">
        <v>0</v>
      </c>
      <c r="BI26" s="1">
        <v>4.6138029999999997E-2</v>
      </c>
      <c r="BJ26" s="1">
        <v>0</v>
      </c>
      <c r="BK26" s="1">
        <v>0.86144609999999999</v>
      </c>
      <c r="BL26" s="1">
        <v>7899.6589999999997</v>
      </c>
      <c r="BM26" s="1">
        <v>270887200</v>
      </c>
      <c r="BN26" s="1">
        <v>90285220</v>
      </c>
      <c r="BO26" s="1">
        <v>46.195120000000003</v>
      </c>
      <c r="BP26" s="1">
        <v>12702.6</v>
      </c>
      <c r="BQ26" s="1">
        <v>18.82818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5.8371559999999997E-10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130.67599999999999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N26" s="1">
        <f t="shared" si="0"/>
        <v>1.9327983690284145E+18</v>
      </c>
      <c r="DP26" s="1">
        <f t="shared" si="1"/>
        <v>2.6394662173501664E-5</v>
      </c>
      <c r="DQ26" s="1">
        <f t="shared" si="2"/>
        <v>0.98727887532274039</v>
      </c>
      <c r="DR26" s="1">
        <f t="shared" si="3"/>
        <v>2.159080360823013E-7</v>
      </c>
      <c r="DS26" s="1">
        <f t="shared" si="4"/>
        <v>2.8916078829316501E-3</v>
      </c>
      <c r="DT26" s="1">
        <f t="shared" si="5"/>
        <v>1.118292541340728E-5</v>
      </c>
      <c r="DU26" s="1">
        <f t="shared" si="6"/>
        <v>9.7917145954099123E-3</v>
      </c>
    </row>
    <row r="27" spans="1:125" x14ac:dyDescent="0.2">
      <c r="A27">
        <v>7047.7994630000003</v>
      </c>
      <c r="B27">
        <v>6903.966821</v>
      </c>
      <c r="C27">
        <v>7191.6321049999997</v>
      </c>
      <c r="D27">
        <v>1466.7448509999999</v>
      </c>
      <c r="E27" s="1">
        <v>36259.56</v>
      </c>
      <c r="F27" s="1">
        <v>150014.70000000001</v>
      </c>
      <c r="G27" s="1">
        <v>1.7825550000000001E-14</v>
      </c>
      <c r="H27" s="1">
        <v>32018120000000</v>
      </c>
      <c r="I27" s="1">
        <v>8304724000</v>
      </c>
      <c r="J27" s="1">
        <v>1.3013269999999999</v>
      </c>
      <c r="K27" s="1">
        <v>30.360510000000001</v>
      </c>
      <c r="L27" s="1">
        <v>1.50064E+16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5.1677219999999996E-3</v>
      </c>
      <c r="Y27" s="1">
        <v>4430997000000000</v>
      </c>
      <c r="Z27" s="1">
        <v>303519200000</v>
      </c>
      <c r="AA27" s="1">
        <v>1145551000</v>
      </c>
      <c r="AB27" s="1">
        <v>40.2166</v>
      </c>
      <c r="AC27" s="1">
        <v>340072.7</v>
      </c>
      <c r="AD27" s="1">
        <v>2.7234380000000001E-14</v>
      </c>
      <c r="AE27" s="1">
        <v>4.8881119999999998E-9</v>
      </c>
      <c r="AF27" s="1">
        <v>526918.1</v>
      </c>
      <c r="AG27" s="1">
        <v>6.0812600000000003</v>
      </c>
      <c r="AH27" s="1">
        <v>56959.68</v>
      </c>
      <c r="AI27" s="1">
        <v>0.54269659999999997</v>
      </c>
      <c r="AJ27" s="1">
        <v>2.832811E-2</v>
      </c>
      <c r="AK27" s="1">
        <v>1.9643619999999999</v>
      </c>
      <c r="AL27" s="1">
        <v>8.2357390000000006</v>
      </c>
      <c r="AM27" s="1">
        <v>1.0536799999999999</v>
      </c>
      <c r="AN27" s="1">
        <v>2.018779E-4</v>
      </c>
      <c r="AO27" s="1">
        <v>1.3413930000000001E-7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17996610000000</v>
      </c>
      <c r="BF27" s="1">
        <v>1.513159E+18</v>
      </c>
      <c r="BG27" s="1">
        <v>697.5729</v>
      </c>
      <c r="BH27" s="1">
        <v>0</v>
      </c>
      <c r="BI27" s="1">
        <v>1.5504850000000001E-2</v>
      </c>
      <c r="BJ27" s="1">
        <v>0</v>
      </c>
      <c r="BK27" s="1">
        <v>0.30542799999999998</v>
      </c>
      <c r="BL27" s="1">
        <v>3470.2750000000001</v>
      </c>
      <c r="BM27" s="1">
        <v>155260400</v>
      </c>
      <c r="BN27" s="1">
        <v>49510490</v>
      </c>
      <c r="BO27" s="1">
        <v>20.756239999999998</v>
      </c>
      <c r="BP27" s="1">
        <v>6667.8190000000004</v>
      </c>
      <c r="BQ27" s="1">
        <v>8.2144960000000005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1.7637059999999999E-10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53.771529999999998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N27" s="1">
        <f t="shared" si="0"/>
        <v>1.5326467249053309E+18</v>
      </c>
      <c r="DP27" s="1">
        <f t="shared" si="1"/>
        <v>2.0890737232337547E-5</v>
      </c>
      <c r="DQ27" s="1">
        <f t="shared" si="2"/>
        <v>0.98728492053083228</v>
      </c>
      <c r="DR27" s="1">
        <f t="shared" si="3"/>
        <v>1.9803598250519727E-7</v>
      </c>
      <c r="DS27" s="1">
        <f t="shared" si="4"/>
        <v>2.8910752412782503E-3</v>
      </c>
      <c r="DT27" s="1">
        <f t="shared" si="5"/>
        <v>1.1742177572663798E-5</v>
      </c>
      <c r="DU27" s="1">
        <f t="shared" si="6"/>
        <v>9.7911669768040773E-3</v>
      </c>
    </row>
    <row r="28" spans="1:125" x14ac:dyDescent="0.2">
      <c r="A28">
        <v>7335.464747</v>
      </c>
      <c r="B28">
        <v>7191.6321049999997</v>
      </c>
      <c r="C28">
        <v>7479.2973890000003</v>
      </c>
      <c r="D28">
        <v>1438.813768</v>
      </c>
      <c r="E28" s="1">
        <v>28052.43</v>
      </c>
      <c r="F28" s="1">
        <v>68548.39</v>
      </c>
      <c r="G28" s="1">
        <v>4.3728169999999997E-15</v>
      </c>
      <c r="H28" s="1">
        <v>20080210000000</v>
      </c>
      <c r="I28" s="1">
        <v>4711552000</v>
      </c>
      <c r="J28" s="1">
        <v>0.52799569999999996</v>
      </c>
      <c r="K28" s="1">
        <v>13.51925</v>
      </c>
      <c r="L28" s="1">
        <v>1.183445E+16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1.7602329999999999E-3</v>
      </c>
      <c r="Y28" s="1">
        <v>3493925000000000</v>
      </c>
      <c r="Z28" s="1">
        <v>225165200000</v>
      </c>
      <c r="AA28" s="1">
        <v>712630400</v>
      </c>
      <c r="AB28" s="1">
        <v>25.192209999999999</v>
      </c>
      <c r="AC28" s="1">
        <v>208473</v>
      </c>
      <c r="AD28" s="1">
        <v>9.1668870000000007E-15</v>
      </c>
      <c r="AE28" s="1">
        <v>1.444835E-9</v>
      </c>
      <c r="AF28" s="1">
        <v>320365.5</v>
      </c>
      <c r="AG28" s="1">
        <v>2.9551810000000001</v>
      </c>
      <c r="AH28" s="1">
        <v>36073.65</v>
      </c>
      <c r="AI28" s="1">
        <v>0.27300099999999999</v>
      </c>
      <c r="AJ28" s="1">
        <v>1.7471690000000002E-2</v>
      </c>
      <c r="AK28" s="1">
        <v>0.90186730000000004</v>
      </c>
      <c r="AL28" s="1">
        <v>5.1336469999999998</v>
      </c>
      <c r="AM28" s="1">
        <v>0.51431740000000004</v>
      </c>
      <c r="AN28" s="1">
        <v>9.2817390000000003E-5</v>
      </c>
      <c r="AO28" s="1">
        <v>5.0992470000000002E-8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14898560000000</v>
      </c>
      <c r="BF28" s="1">
        <v>1.193394E+18</v>
      </c>
      <c r="BG28" s="1">
        <v>320.74950000000001</v>
      </c>
      <c r="BH28" s="1">
        <v>0</v>
      </c>
      <c r="BI28" s="1">
        <v>5.2436660000000001E-3</v>
      </c>
      <c r="BJ28" s="1">
        <v>0</v>
      </c>
      <c r="BK28" s="1">
        <v>0.1119694</v>
      </c>
      <c r="BL28" s="1">
        <v>1569.921</v>
      </c>
      <c r="BM28" s="1">
        <v>91194230</v>
      </c>
      <c r="BN28" s="1">
        <v>26977320</v>
      </c>
      <c r="BO28" s="1">
        <v>9.3201800000000006</v>
      </c>
      <c r="BP28" s="1">
        <v>3478.5740000000001</v>
      </c>
      <c r="BQ28" s="1">
        <v>3.8167939999999998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5.2801480000000003E-11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22.795100000000001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N28" s="1">
        <f t="shared" si="0"/>
        <v>1.2087575844781926E+18</v>
      </c>
      <c r="DP28" s="1">
        <f t="shared" si="1"/>
        <v>1.6612272185798449E-5</v>
      </c>
      <c r="DQ28" s="1">
        <f t="shared" si="2"/>
        <v>0.98728977201427448</v>
      </c>
      <c r="DR28" s="1">
        <f t="shared" si="3"/>
        <v>1.8627821069449697E-7</v>
      </c>
      <c r="DS28" s="1">
        <f t="shared" si="4"/>
        <v>2.8905092674212994E-3</v>
      </c>
      <c r="DT28" s="1">
        <f t="shared" si="5"/>
        <v>1.2325515216048505E-5</v>
      </c>
      <c r="DU28" s="1">
        <f t="shared" si="6"/>
        <v>9.7905900669974302E-3</v>
      </c>
    </row>
    <row r="29" spans="1:125" x14ac:dyDescent="0.2">
      <c r="A29">
        <v>7623.1300309999997</v>
      </c>
      <c r="B29">
        <v>7479.2973890000003</v>
      </c>
      <c r="C29">
        <v>7766.962673</v>
      </c>
      <c r="D29">
        <v>1412.160106</v>
      </c>
      <c r="E29" s="1">
        <v>21597.45</v>
      </c>
      <c r="F29" s="1">
        <v>31531.71</v>
      </c>
      <c r="G29" s="1">
        <v>1.0858950000000001E-15</v>
      </c>
      <c r="H29" s="1">
        <v>12596320000000</v>
      </c>
      <c r="I29" s="1">
        <v>2676025000</v>
      </c>
      <c r="J29" s="1">
        <v>0.2151072</v>
      </c>
      <c r="K29" s="1">
        <v>6.01837</v>
      </c>
      <c r="L29" s="1">
        <v>9282686000000000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6.223569E-4</v>
      </c>
      <c r="Y29" s="1">
        <v>2740162000000000</v>
      </c>
      <c r="Z29" s="1">
        <v>169792200000</v>
      </c>
      <c r="AA29" s="1">
        <v>438699500</v>
      </c>
      <c r="AB29" s="1">
        <v>15.61553</v>
      </c>
      <c r="AC29" s="1">
        <v>130109.1</v>
      </c>
      <c r="AD29" s="1">
        <v>3.0831650000000001E-15</v>
      </c>
      <c r="AE29" s="1">
        <v>4.5698830000000002E-10</v>
      </c>
      <c r="AF29" s="1">
        <v>205613</v>
      </c>
      <c r="AG29" s="1">
        <v>1.513279</v>
      </c>
      <c r="AH29" s="1">
        <v>23931.62</v>
      </c>
      <c r="AI29" s="1">
        <v>0.14364160000000001</v>
      </c>
      <c r="AJ29" s="1">
        <v>1.120752E-2</v>
      </c>
      <c r="AK29" s="1">
        <v>0.42420219999999997</v>
      </c>
      <c r="AL29" s="1">
        <v>3.2591749999999999</v>
      </c>
      <c r="AM29" s="1">
        <v>0.25522590000000001</v>
      </c>
      <c r="AN29" s="1">
        <v>4.3254950000000002E-5</v>
      </c>
      <c r="AO29" s="1">
        <v>1.962493E-8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12261980000000</v>
      </c>
      <c r="BF29" s="1">
        <v>9.36133E+17</v>
      </c>
      <c r="BG29" s="1">
        <v>148.45840000000001</v>
      </c>
      <c r="BH29" s="1">
        <v>0</v>
      </c>
      <c r="BI29" s="1">
        <v>1.7899700000000001E-3</v>
      </c>
      <c r="BJ29" s="1">
        <v>0</v>
      </c>
      <c r="BK29" s="1">
        <v>4.2421630000000002E-2</v>
      </c>
      <c r="BL29" s="1">
        <v>730.34699999999998</v>
      </c>
      <c r="BM29" s="1">
        <v>54757100</v>
      </c>
      <c r="BN29" s="1">
        <v>14616270</v>
      </c>
      <c r="BO29" s="1">
        <v>4.1873550000000002</v>
      </c>
      <c r="BP29" s="1">
        <v>1805.09</v>
      </c>
      <c r="BQ29" s="1">
        <v>1.883302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1.568911E-11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9.9430200000000006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N29" s="1">
        <f t="shared" si="0"/>
        <v>9.4818087927669184E+17</v>
      </c>
      <c r="DP29" s="1">
        <f t="shared" si="1"/>
        <v>1.3284722646599822E-5</v>
      </c>
      <c r="DQ29" s="1">
        <f t="shared" si="2"/>
        <v>0.98729369096128328</v>
      </c>
      <c r="DR29" s="1">
        <f t="shared" si="3"/>
        <v>1.790715291891605E-7</v>
      </c>
      <c r="DS29" s="1">
        <f t="shared" si="4"/>
        <v>2.8899148463005274E-3</v>
      </c>
      <c r="DT29" s="1">
        <f t="shared" si="5"/>
        <v>1.293211060040981E-5</v>
      </c>
      <c r="DU29" s="1">
        <f t="shared" si="6"/>
        <v>9.7899949291122418E-3</v>
      </c>
    </row>
    <row r="30" spans="1:125" x14ac:dyDescent="0.2">
      <c r="A30">
        <v>7910.7953159999997</v>
      </c>
      <c r="B30">
        <v>7766.962673</v>
      </c>
      <c r="C30">
        <v>8054.627958</v>
      </c>
      <c r="D30">
        <v>1386.439433</v>
      </c>
      <c r="E30" s="1">
        <v>16547.64</v>
      </c>
      <c r="F30" s="1">
        <v>14493.57</v>
      </c>
      <c r="G30" s="1">
        <v>2.6944E-16</v>
      </c>
      <c r="H30" s="1">
        <v>7880099000000</v>
      </c>
      <c r="I30" s="1">
        <v>1515193000</v>
      </c>
      <c r="J30" s="1">
        <v>8.7357240000000003E-2</v>
      </c>
      <c r="K30" s="1">
        <v>2.665273</v>
      </c>
      <c r="L30" s="1">
        <v>7243715000000000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2.242565E-4</v>
      </c>
      <c r="Y30" s="1">
        <v>2137943000000000</v>
      </c>
      <c r="Z30" s="1">
        <v>129465200000</v>
      </c>
      <c r="AA30" s="1">
        <v>267452600</v>
      </c>
      <c r="AB30" s="1">
        <v>9.5973229999999994</v>
      </c>
      <c r="AC30" s="1">
        <v>82128.03</v>
      </c>
      <c r="AD30" s="1">
        <v>1.033998E-15</v>
      </c>
      <c r="AE30" s="1">
        <v>1.5056289999999999E-10</v>
      </c>
      <c r="AF30" s="1">
        <v>137039.4</v>
      </c>
      <c r="AG30" s="1">
        <v>0.8021123</v>
      </c>
      <c r="AH30" s="1">
        <v>16407.28</v>
      </c>
      <c r="AI30" s="1">
        <v>7.7906660000000003E-2</v>
      </c>
      <c r="AJ30" s="1">
        <v>7.39231E-3</v>
      </c>
      <c r="AK30" s="1">
        <v>0.20215050000000001</v>
      </c>
      <c r="AL30" s="1">
        <v>2.0913919999999999</v>
      </c>
      <c r="AM30" s="1">
        <v>0.12776509999999999</v>
      </c>
      <c r="AN30" s="1">
        <v>2.0300829999999999E-5</v>
      </c>
      <c r="AO30" s="1">
        <v>7.5898409999999994E-9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10047990000000</v>
      </c>
      <c r="BF30" s="1">
        <v>7.305584E+17</v>
      </c>
      <c r="BG30" s="1">
        <v>68.670419999999993</v>
      </c>
      <c r="BH30" s="1">
        <v>0</v>
      </c>
      <c r="BI30" s="1">
        <v>6.1031970000000003E-4</v>
      </c>
      <c r="BJ30" s="1">
        <v>0</v>
      </c>
      <c r="BK30" s="1">
        <v>1.6342220000000001E-2</v>
      </c>
      <c r="BL30" s="1">
        <v>344.84980000000002</v>
      </c>
      <c r="BM30" s="1">
        <v>33307210</v>
      </c>
      <c r="BN30" s="1">
        <v>7858170</v>
      </c>
      <c r="BO30" s="1">
        <v>1.878457</v>
      </c>
      <c r="BP30" s="1">
        <v>929.84460000000001</v>
      </c>
      <c r="BQ30" s="1">
        <v>0.96653659999999997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4.6066959999999999E-12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4.4010800000000003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N30" s="1">
        <f t="shared" si="0"/>
        <v>7.3995811737826253E+17</v>
      </c>
      <c r="DP30" s="1">
        <f t="shared" si="1"/>
        <v>1.0649385167798269E-5</v>
      </c>
      <c r="DQ30" s="1">
        <f t="shared" si="2"/>
        <v>0.98729696025017388</v>
      </c>
      <c r="DR30" s="1">
        <f t="shared" si="3"/>
        <v>1.7496287554585754E-7</v>
      </c>
      <c r="DS30" s="1">
        <f t="shared" si="4"/>
        <v>2.8892756897848791E-3</v>
      </c>
      <c r="DT30" s="1">
        <f t="shared" si="5"/>
        <v>1.3579133418524987E-5</v>
      </c>
      <c r="DU30" s="1">
        <f t="shared" si="6"/>
        <v>9.7893581134904321E-3</v>
      </c>
    </row>
    <row r="31" spans="1:125" x14ac:dyDescent="0.2">
      <c r="A31">
        <v>8198.4606000000003</v>
      </c>
      <c r="B31">
        <v>8054.627958</v>
      </c>
      <c r="C31">
        <v>8342.2932419999997</v>
      </c>
      <c r="D31">
        <v>1361.554304</v>
      </c>
      <c r="E31" s="1">
        <v>12617.58</v>
      </c>
      <c r="F31" s="1">
        <v>6647.576</v>
      </c>
      <c r="G31" s="1">
        <v>6.6631579999999997E-17</v>
      </c>
      <c r="H31" s="1">
        <v>4913232000000</v>
      </c>
      <c r="I31" s="1">
        <v>854584800</v>
      </c>
      <c r="J31" s="1">
        <v>3.5312700000000002E-2</v>
      </c>
      <c r="K31" s="1">
        <v>1.1730830000000001</v>
      </c>
      <c r="L31" s="1">
        <v>5623887000000000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8.1709090000000006E-5</v>
      </c>
      <c r="Y31" s="1">
        <v>1659582000000000</v>
      </c>
      <c r="Z31" s="1">
        <v>99253500000</v>
      </c>
      <c r="AA31" s="1">
        <v>161483200</v>
      </c>
      <c r="AB31" s="1">
        <v>5.84823</v>
      </c>
      <c r="AC31" s="1">
        <v>52119.5</v>
      </c>
      <c r="AD31" s="1">
        <v>3.4557779999999999E-16</v>
      </c>
      <c r="AE31" s="1">
        <v>5.0933769999999997E-11</v>
      </c>
      <c r="AF31" s="1">
        <v>93653.22</v>
      </c>
      <c r="AG31" s="1">
        <v>0.43450359999999999</v>
      </c>
      <c r="AH31" s="1">
        <v>11484.98</v>
      </c>
      <c r="AI31" s="1">
        <v>4.302839E-2</v>
      </c>
      <c r="AJ31" s="1">
        <v>4.9562749999999996E-3</v>
      </c>
      <c r="AK31" s="1">
        <v>9.6935080000000007E-2</v>
      </c>
      <c r="AL31" s="1">
        <v>1.347755</v>
      </c>
      <c r="AM31" s="1">
        <v>6.4121949999999997E-2</v>
      </c>
      <c r="AN31" s="1">
        <v>9.5379829999999993E-6</v>
      </c>
      <c r="AO31" s="1">
        <v>2.9305140000000001E-9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8198429000000</v>
      </c>
      <c r="BF31" s="1">
        <v>5.672332E+17</v>
      </c>
      <c r="BG31" s="1">
        <v>31.698910000000001</v>
      </c>
      <c r="BH31" s="1">
        <v>0</v>
      </c>
      <c r="BI31" s="1">
        <v>2.07438E-4</v>
      </c>
      <c r="BJ31" s="1">
        <v>0</v>
      </c>
      <c r="BK31" s="1">
        <v>6.3540560000000003E-3</v>
      </c>
      <c r="BL31" s="1">
        <v>164.1182</v>
      </c>
      <c r="BM31" s="1">
        <v>20395420</v>
      </c>
      <c r="BN31" s="1">
        <v>4190925</v>
      </c>
      <c r="BO31" s="1">
        <v>0.84098589999999995</v>
      </c>
      <c r="BP31" s="1">
        <v>475.17450000000002</v>
      </c>
      <c r="BQ31" s="1">
        <v>0.50909490000000002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1.335121E-12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1.96286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N31" s="1">
        <f t="shared" si="0"/>
        <v>5.7452988095531885E+17</v>
      </c>
      <c r="DP31" s="1">
        <f t="shared" si="1"/>
        <v>8.5517431953762934E-6</v>
      </c>
      <c r="DQ31" s="1">
        <f t="shared" si="2"/>
        <v>0.98729973636325752</v>
      </c>
      <c r="DR31" s="1">
        <f t="shared" si="3"/>
        <v>1.7275602764988117E-7</v>
      </c>
      <c r="DS31" s="1">
        <f t="shared" si="4"/>
        <v>2.888591272642729E-3</v>
      </c>
      <c r="DT31" s="1">
        <f t="shared" si="5"/>
        <v>1.4269804359640594E-5</v>
      </c>
      <c r="DU31" s="1">
        <f t="shared" si="6"/>
        <v>9.7886762489162327E-3</v>
      </c>
    </row>
    <row r="32" spans="1:125" x14ac:dyDescent="0.2">
      <c r="A32">
        <v>8486.1258839999991</v>
      </c>
      <c r="B32">
        <v>8342.2932419999997</v>
      </c>
      <c r="C32">
        <v>8629.9585260000003</v>
      </c>
      <c r="D32">
        <v>1337.681832</v>
      </c>
      <c r="E32" s="1">
        <v>9572.393</v>
      </c>
      <c r="F32" s="1">
        <v>3063.2089999999998</v>
      </c>
      <c r="G32" s="1">
        <v>1.662186E-17</v>
      </c>
      <c r="H32" s="1">
        <v>3061380000000</v>
      </c>
      <c r="I32" s="1">
        <v>481953200</v>
      </c>
      <c r="J32" s="1">
        <v>1.4302199999999999E-2</v>
      </c>
      <c r="K32" s="1">
        <v>0.51543170000000005</v>
      </c>
      <c r="L32" s="1">
        <v>4342414000000000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3.0339149999999999E-5</v>
      </c>
      <c r="Y32" s="1">
        <v>1281200000000000</v>
      </c>
      <c r="Z32" s="1">
        <v>76143480000</v>
      </c>
      <c r="AA32" s="1">
        <v>96458220</v>
      </c>
      <c r="AB32" s="1">
        <v>3.5255809999999999</v>
      </c>
      <c r="AC32" s="1">
        <v>33141.22</v>
      </c>
      <c r="AD32" s="1">
        <v>1.1547019999999999E-16</v>
      </c>
      <c r="AE32" s="1">
        <v>1.780439E-11</v>
      </c>
      <c r="AF32" s="1">
        <v>65401.5</v>
      </c>
      <c r="AG32" s="1">
        <v>0.24001459999999999</v>
      </c>
      <c r="AH32" s="1">
        <v>8156.933</v>
      </c>
      <c r="AI32" s="1">
        <v>2.4071639999999998E-2</v>
      </c>
      <c r="AJ32" s="1">
        <v>3.3498550000000001E-3</v>
      </c>
      <c r="AK32" s="1">
        <v>4.6804900000000003E-2</v>
      </c>
      <c r="AL32" s="1">
        <v>0.86936480000000005</v>
      </c>
      <c r="AM32" s="1">
        <v>3.2182599999999999E-2</v>
      </c>
      <c r="AN32" s="1">
        <v>4.4695320000000002E-6</v>
      </c>
      <c r="AO32" s="1">
        <v>1.125737E-9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6650768000000</v>
      </c>
      <c r="BF32" s="1">
        <v>4.38015E+17</v>
      </c>
      <c r="BG32" s="1">
        <v>14.700369999999999</v>
      </c>
      <c r="BH32" s="1">
        <v>0</v>
      </c>
      <c r="BI32" s="1">
        <v>7.0956040000000006E-5</v>
      </c>
      <c r="BJ32" s="1">
        <v>0</v>
      </c>
      <c r="BK32" s="1">
        <v>2.5083179999999998E-3</v>
      </c>
      <c r="BL32" s="1">
        <v>78.933149999999998</v>
      </c>
      <c r="BM32" s="1">
        <v>12558220</v>
      </c>
      <c r="BN32" s="1">
        <v>2220884</v>
      </c>
      <c r="BO32" s="1">
        <v>0.3767529</v>
      </c>
      <c r="BP32" s="1">
        <v>241.2508</v>
      </c>
      <c r="BQ32" s="1">
        <v>0.27539950000000002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3.83275E-13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0.88502769999999997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N32" s="1">
        <f t="shared" si="0"/>
        <v>4.4364840288478061E+17</v>
      </c>
      <c r="DP32" s="1">
        <f t="shared" si="1"/>
        <v>6.900464376956333E-6</v>
      </c>
      <c r="DQ32" s="1">
        <f t="shared" si="2"/>
        <v>0.98730210038365973</v>
      </c>
      <c r="DR32" s="1">
        <f t="shared" si="3"/>
        <v>1.7163023580133373E-7</v>
      </c>
      <c r="DS32" s="1">
        <f t="shared" si="4"/>
        <v>2.8878724496000019E-3</v>
      </c>
      <c r="DT32" s="1">
        <f t="shared" si="5"/>
        <v>1.4991078423260464E-5</v>
      </c>
      <c r="DU32" s="1">
        <f t="shared" si="6"/>
        <v>9.7879626563825654E-3</v>
      </c>
    </row>
    <row r="33" spans="1:125" x14ac:dyDescent="0.2">
      <c r="A33">
        <v>8773.7911679999997</v>
      </c>
      <c r="B33">
        <v>8629.9585260000003</v>
      </c>
      <c r="C33">
        <v>8917.6238099999991</v>
      </c>
      <c r="D33">
        <v>1314.1206870000001</v>
      </c>
      <c r="E33" s="1">
        <v>7224.9359999999997</v>
      </c>
      <c r="F33" s="1">
        <v>1387.931</v>
      </c>
      <c r="G33" s="1">
        <v>4.0248089999999998E-18</v>
      </c>
      <c r="H33" s="1">
        <v>1888582000000</v>
      </c>
      <c r="I33" s="1">
        <v>268499600</v>
      </c>
      <c r="J33" s="1">
        <v>5.6808370000000002E-3</v>
      </c>
      <c r="K33" s="1">
        <v>0.2226891</v>
      </c>
      <c r="L33" s="1">
        <v>3336014000000000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1.105793E-5</v>
      </c>
      <c r="Y33" s="1">
        <v>984082600000000</v>
      </c>
      <c r="Z33" s="1">
        <v>58318780000</v>
      </c>
      <c r="AA33" s="1">
        <v>57047700</v>
      </c>
      <c r="AB33" s="1">
        <v>2.1050179999999998</v>
      </c>
      <c r="AC33" s="1">
        <v>20956.330000000002</v>
      </c>
      <c r="AD33" s="1">
        <v>3.808466E-17</v>
      </c>
      <c r="AE33" s="1">
        <v>6.116747E-12</v>
      </c>
      <c r="AF33" s="1">
        <v>45601.07</v>
      </c>
      <c r="AG33" s="1">
        <v>0.1317758</v>
      </c>
      <c r="AH33" s="1">
        <v>5791.3370000000004</v>
      </c>
      <c r="AI33" s="1">
        <v>1.3403450000000001E-2</v>
      </c>
      <c r="AJ33" s="1">
        <v>2.264154E-3</v>
      </c>
      <c r="AK33" s="1">
        <v>2.2326039999999998E-2</v>
      </c>
      <c r="AL33" s="1">
        <v>0.55684869999999997</v>
      </c>
      <c r="AM33" s="1">
        <v>1.59883E-2</v>
      </c>
      <c r="AN33" s="1">
        <v>2.0720900000000002E-6</v>
      </c>
      <c r="AO33" s="1">
        <v>4.2567090000000002E-10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5373975000000</v>
      </c>
      <c r="BF33" s="1">
        <v>3.365276E+17</v>
      </c>
      <c r="BG33" s="1">
        <v>6.7043039999999996</v>
      </c>
      <c r="BH33" s="1">
        <v>0</v>
      </c>
      <c r="BI33" s="1">
        <v>2.3705219999999999E-5</v>
      </c>
      <c r="BJ33" s="1">
        <v>0</v>
      </c>
      <c r="BK33" s="1">
        <v>9.7374129999999997E-4</v>
      </c>
      <c r="BL33" s="1">
        <v>37.49803</v>
      </c>
      <c r="BM33" s="1">
        <v>7681116</v>
      </c>
      <c r="BN33" s="1">
        <v>1162236</v>
      </c>
      <c r="BO33" s="1">
        <v>0.16739780000000001</v>
      </c>
      <c r="BP33" s="1">
        <v>120.7645</v>
      </c>
      <c r="BQ33" s="1">
        <v>0.1478816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1.072725E-13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0.39358399999999999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N33" s="1">
        <f t="shared" si="0"/>
        <v>3.4085501781024454E+17</v>
      </c>
      <c r="DP33" s="1">
        <f t="shared" si="1"/>
        <v>5.5407193713409894E-6</v>
      </c>
      <c r="DQ33" s="1">
        <f t="shared" si="2"/>
        <v>0.98730422735729351</v>
      </c>
      <c r="DR33" s="1">
        <f t="shared" si="3"/>
        <v>1.7109555955683867E-7</v>
      </c>
      <c r="DS33" s="1">
        <f t="shared" si="4"/>
        <v>2.8871002290711267E-3</v>
      </c>
      <c r="DT33" s="1">
        <f t="shared" si="5"/>
        <v>1.5766160740493237E-5</v>
      </c>
      <c r="DU33" s="1">
        <f t="shared" si="6"/>
        <v>9.7871934567123585E-3</v>
      </c>
    </row>
    <row r="34" spans="1:125" x14ac:dyDescent="0.2">
      <c r="A34">
        <v>9061.4564520000004</v>
      </c>
      <c r="B34">
        <v>8917.6238099999991</v>
      </c>
      <c r="C34">
        <v>9205.2890939999997</v>
      </c>
      <c r="D34">
        <v>1289.2691159999999</v>
      </c>
      <c r="E34" s="1">
        <v>5425.1589999999997</v>
      </c>
      <c r="F34" s="1">
        <v>586.32090000000005</v>
      </c>
      <c r="G34" s="1">
        <v>8.6081900000000004E-19</v>
      </c>
      <c r="H34" s="1">
        <v>1127668000000</v>
      </c>
      <c r="I34" s="1">
        <v>143368500</v>
      </c>
      <c r="J34" s="1">
        <v>2.0980209999999998E-3</v>
      </c>
      <c r="K34" s="1">
        <v>9.1235250000000004E-2</v>
      </c>
      <c r="L34" s="1">
        <v>2553041000000000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3.6213739999999999E-6</v>
      </c>
      <c r="Y34" s="1">
        <v>752949100000000</v>
      </c>
      <c r="Z34" s="1">
        <v>44576070000</v>
      </c>
      <c r="AA34" s="1">
        <v>33494390</v>
      </c>
      <c r="AB34" s="1">
        <v>1.250429</v>
      </c>
      <c r="AC34" s="1">
        <v>12997.88</v>
      </c>
      <c r="AD34" s="1">
        <v>1.198413E-17</v>
      </c>
      <c r="AE34" s="1">
        <v>1.8373609999999999E-12</v>
      </c>
      <c r="AF34" s="1">
        <v>30241.54</v>
      </c>
      <c r="AG34" s="1">
        <v>6.8118109999999996E-2</v>
      </c>
      <c r="AH34" s="1">
        <v>4001.16</v>
      </c>
      <c r="AI34" s="1">
        <v>7.189951E-3</v>
      </c>
      <c r="AJ34" s="1">
        <v>1.5199199999999999E-3</v>
      </c>
      <c r="AK34" s="1">
        <v>1.0081390000000001E-2</v>
      </c>
      <c r="AL34" s="1">
        <v>0.34906429999999999</v>
      </c>
      <c r="AM34" s="1">
        <v>7.7113379999999999E-3</v>
      </c>
      <c r="AN34" s="1">
        <v>9.390234E-7</v>
      </c>
      <c r="AO34" s="1">
        <v>1.553652E-10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4349197000000</v>
      </c>
      <c r="BF34" s="1">
        <v>2.575678E+17</v>
      </c>
      <c r="BG34" s="1">
        <v>2.8528929999999999</v>
      </c>
      <c r="BH34" s="1">
        <v>0</v>
      </c>
      <c r="BI34" s="1">
        <v>7.1742230000000003E-6</v>
      </c>
      <c r="BJ34" s="1">
        <v>0</v>
      </c>
      <c r="BK34" s="1">
        <v>3.4498969999999999E-4</v>
      </c>
      <c r="BL34" s="1">
        <v>16.70721</v>
      </c>
      <c r="BM34" s="1">
        <v>4550953</v>
      </c>
      <c r="BN34" s="1">
        <v>591957.9</v>
      </c>
      <c r="BO34" s="1">
        <v>7.1900400000000003E-2</v>
      </c>
      <c r="BP34" s="1">
        <v>58.415869999999998</v>
      </c>
      <c r="BQ34" s="1">
        <v>7.3044059999999994E-2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2.8167130000000001E-14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0.1631177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N34" s="1">
        <f t="shared" si="0"/>
        <v>2.6087931172312371E+17</v>
      </c>
      <c r="DP34" s="1">
        <f t="shared" si="1"/>
        <v>4.3225658353346777E-6</v>
      </c>
      <c r="DQ34" s="1">
        <f t="shared" si="2"/>
        <v>0.98730634598331701</v>
      </c>
      <c r="DR34" s="1">
        <f t="shared" si="3"/>
        <v>1.7086855107663521E-7</v>
      </c>
      <c r="DS34" s="1">
        <f t="shared" si="4"/>
        <v>2.8861970503782971E-3</v>
      </c>
      <c r="DT34" s="1">
        <f t="shared" si="5"/>
        <v>1.6671298966841369E-5</v>
      </c>
      <c r="DU34" s="1">
        <f t="shared" si="6"/>
        <v>9.7862915351049073E-3</v>
      </c>
    </row>
    <row r="35" spans="1:125" x14ac:dyDescent="0.2">
      <c r="A35">
        <v>9349.1217369999995</v>
      </c>
      <c r="B35">
        <v>9205.2890939999997</v>
      </c>
      <c r="C35">
        <v>9492.9543790000007</v>
      </c>
      <c r="D35">
        <v>1261.9015469999999</v>
      </c>
      <c r="E35" s="1">
        <v>4050.69</v>
      </c>
      <c r="F35" s="1">
        <v>222.3228</v>
      </c>
      <c r="G35" s="1">
        <v>1.5240880000000001E-19</v>
      </c>
      <c r="H35" s="1">
        <v>641536600000</v>
      </c>
      <c r="I35" s="1">
        <v>71733250</v>
      </c>
      <c r="J35" s="1">
        <v>6.9190790000000005E-4</v>
      </c>
      <c r="K35" s="1">
        <v>3.4638759999999998E-2</v>
      </c>
      <c r="L35" s="1">
        <v>1947345000000000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1.0021600000000001E-6</v>
      </c>
      <c r="Y35" s="1">
        <v>574158600000000</v>
      </c>
      <c r="Z35" s="1">
        <v>33987780000</v>
      </c>
      <c r="AA35" s="1">
        <v>19542120</v>
      </c>
      <c r="AB35" s="1">
        <v>0.74081180000000002</v>
      </c>
      <c r="AC35" s="1">
        <v>7806.5060000000003</v>
      </c>
      <c r="AD35" s="1">
        <v>3.5072080000000001E-18</v>
      </c>
      <c r="AE35" s="1">
        <v>4.3930949999999999E-13</v>
      </c>
      <c r="AF35" s="1">
        <v>18275.71</v>
      </c>
      <c r="AG35" s="1">
        <v>3.1761070000000002E-2</v>
      </c>
      <c r="AH35" s="1">
        <v>2626.9380000000001</v>
      </c>
      <c r="AI35" s="1">
        <v>3.6288050000000001E-3</v>
      </c>
      <c r="AJ35" s="1">
        <v>1.0185179999999999E-3</v>
      </c>
      <c r="AK35" s="1">
        <v>4.1672910000000001E-3</v>
      </c>
      <c r="AL35" s="1">
        <v>0.2115158</v>
      </c>
      <c r="AM35" s="1">
        <v>3.5651810000000002E-3</v>
      </c>
      <c r="AN35" s="1">
        <v>4.1562779999999998E-7</v>
      </c>
      <c r="AO35" s="1">
        <v>5.3994029999999999E-11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3540392000000</v>
      </c>
      <c r="BF35" s="1">
        <v>1.964839E+17</v>
      </c>
      <c r="BG35" s="1">
        <v>1.091143</v>
      </c>
      <c r="BH35" s="1">
        <v>0</v>
      </c>
      <c r="BI35" s="1">
        <v>1.855643E-6</v>
      </c>
      <c r="BJ35" s="1">
        <v>0</v>
      </c>
      <c r="BK35" s="1">
        <v>1.059029E-4</v>
      </c>
      <c r="BL35" s="1">
        <v>6.7344350000000004</v>
      </c>
      <c r="BM35" s="1">
        <v>2567041</v>
      </c>
      <c r="BN35" s="1">
        <v>290887.5</v>
      </c>
      <c r="BO35" s="1">
        <v>2.920184E-2</v>
      </c>
      <c r="BP35" s="1">
        <v>26.66675</v>
      </c>
      <c r="BQ35" s="1">
        <v>3.1183880000000001E-2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6.7223100000000002E-15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6.05015E-2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N35" s="1">
        <f t="shared" si="0"/>
        <v>1.9900961961054224E+17</v>
      </c>
      <c r="DP35" s="1">
        <f t="shared" si="1"/>
        <v>3.2236461797950974E-6</v>
      </c>
      <c r="DQ35" s="1">
        <f t="shared" si="2"/>
        <v>0.98730855515685612</v>
      </c>
      <c r="DR35" s="1">
        <f t="shared" si="3"/>
        <v>1.7078460863607191E-7</v>
      </c>
      <c r="DS35" s="1">
        <f t="shared" si="4"/>
        <v>2.885079631445036E-3</v>
      </c>
      <c r="DT35" s="1">
        <f t="shared" si="5"/>
        <v>1.7790054606046055E-5</v>
      </c>
      <c r="DU35" s="1">
        <f t="shared" si="6"/>
        <v>9.7851802531501459E-3</v>
      </c>
    </row>
    <row r="36" spans="1:125" x14ac:dyDescent="0.2">
      <c r="A36">
        <v>9636.7870210000001</v>
      </c>
      <c r="B36">
        <v>9492.9543790000007</v>
      </c>
      <c r="C36">
        <v>9780.6196629999995</v>
      </c>
      <c r="D36">
        <v>1231.622398</v>
      </c>
      <c r="E36" s="1">
        <v>3004.3009999999999</v>
      </c>
      <c r="F36" s="1">
        <v>76.965040000000002</v>
      </c>
      <c r="G36" s="1">
        <v>2.3255709999999999E-20</v>
      </c>
      <c r="H36" s="1">
        <v>351134500000</v>
      </c>
      <c r="I36" s="1">
        <v>33835520</v>
      </c>
      <c r="J36" s="1">
        <v>2.0572289999999999E-4</v>
      </c>
      <c r="K36" s="1">
        <v>1.249019E-2</v>
      </c>
      <c r="L36" s="1">
        <v>1479598000000000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2.4250579999999998E-7</v>
      </c>
      <c r="Y36" s="1">
        <v>436099200000000</v>
      </c>
      <c r="Z36" s="1">
        <v>25823480000</v>
      </c>
      <c r="AA36" s="1">
        <v>11308520</v>
      </c>
      <c r="AB36" s="1">
        <v>0.436533</v>
      </c>
      <c r="AC36" s="1">
        <v>4500.4740000000002</v>
      </c>
      <c r="AD36" s="1">
        <v>9.7432110000000007E-19</v>
      </c>
      <c r="AE36" s="1">
        <v>8.2685140000000003E-14</v>
      </c>
      <c r="AF36" s="1">
        <v>9836.6370000000006</v>
      </c>
      <c r="AG36" s="1">
        <v>1.3304730000000001E-2</v>
      </c>
      <c r="AH36" s="1">
        <v>1617.125</v>
      </c>
      <c r="AI36" s="1">
        <v>1.7336579999999999E-3</v>
      </c>
      <c r="AJ36" s="1">
        <v>7.0976350000000004E-4</v>
      </c>
      <c r="AK36" s="1">
        <v>1.576229E-3</v>
      </c>
      <c r="AL36" s="1">
        <v>0.1231138</v>
      </c>
      <c r="AM36" s="1">
        <v>1.5970730000000001E-3</v>
      </c>
      <c r="AN36" s="1">
        <v>1.8630879999999999E-7</v>
      </c>
      <c r="AO36" s="1">
        <v>1.8017220000000001E-11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2900222000000</v>
      </c>
      <c r="BF36" s="1">
        <v>1.493104E+17</v>
      </c>
      <c r="BG36" s="1">
        <v>0.3816485</v>
      </c>
      <c r="BH36" s="1">
        <v>0</v>
      </c>
      <c r="BI36" s="1">
        <v>4.123914E-7</v>
      </c>
      <c r="BJ36" s="1">
        <v>0</v>
      </c>
      <c r="BK36" s="1">
        <v>2.8976090000000001E-5</v>
      </c>
      <c r="BL36" s="1">
        <v>2.5029439999999998</v>
      </c>
      <c r="BM36" s="1">
        <v>1391760</v>
      </c>
      <c r="BN36" s="1">
        <v>139786</v>
      </c>
      <c r="BO36" s="1">
        <v>1.127713E-2</v>
      </c>
      <c r="BP36" s="1">
        <v>11.15193</v>
      </c>
      <c r="BQ36" s="1">
        <v>1.135389E-2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1.454449E-15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2.0420589999999999E-2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N36" s="1">
        <f t="shared" si="0"/>
        <v>1.5122937442667162E+17</v>
      </c>
      <c r="DP36" s="1">
        <f t="shared" si="1"/>
        <v>2.3218670402571741E-6</v>
      </c>
      <c r="DQ36" s="1">
        <f t="shared" si="2"/>
        <v>0.98731083538534314</v>
      </c>
      <c r="DR36" s="1">
        <f t="shared" si="3"/>
        <v>1.7075703776399166E-7</v>
      </c>
      <c r="DS36" s="1">
        <f t="shared" si="4"/>
        <v>2.8836937377629411E-3</v>
      </c>
      <c r="DT36" s="1">
        <f t="shared" si="5"/>
        <v>1.9177636692574334E-5</v>
      </c>
      <c r="DU36" s="1">
        <f t="shared" si="6"/>
        <v>9.7838003073763315E-3</v>
      </c>
    </row>
    <row r="37" spans="1:125" x14ac:dyDescent="0.2">
      <c r="A37">
        <v>9924.4523050000007</v>
      </c>
      <c r="B37">
        <v>9780.6196629999995</v>
      </c>
      <c r="C37">
        <v>10068.284947</v>
      </c>
      <c r="D37">
        <v>1198.5010010000001</v>
      </c>
      <c r="E37" s="1">
        <v>2210.1840000000002</v>
      </c>
      <c r="F37" s="1">
        <v>27.034459999999999</v>
      </c>
      <c r="G37" s="1">
        <v>3.7918760000000003E-21</v>
      </c>
      <c r="H37" s="1">
        <v>194928400000</v>
      </c>
      <c r="I37" s="1">
        <v>15825480</v>
      </c>
      <c r="J37" s="1">
        <v>6.0645330000000002E-5</v>
      </c>
      <c r="K37" s="1">
        <v>4.7679310000000004E-3</v>
      </c>
      <c r="L37" s="1">
        <v>1118385000000000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6.2316859999999996E-8</v>
      </c>
      <c r="Y37" s="1">
        <v>329495400000000</v>
      </c>
      <c r="Z37" s="1">
        <v>19521510000</v>
      </c>
      <c r="AA37" s="1">
        <v>6465974</v>
      </c>
      <c r="AB37" s="1">
        <v>0.25479930000000001</v>
      </c>
      <c r="AC37" s="1">
        <v>2476.2629999999999</v>
      </c>
      <c r="AD37" s="1">
        <v>2.8678880000000001E-19</v>
      </c>
      <c r="AE37" s="1">
        <v>1.3465300000000001E-14</v>
      </c>
      <c r="AF37" s="1">
        <v>4679.88</v>
      </c>
      <c r="AG37" s="1">
        <v>5.2479739999999999E-3</v>
      </c>
      <c r="AH37" s="1">
        <v>927.77840000000003</v>
      </c>
      <c r="AI37" s="1">
        <v>8.2604249999999998E-4</v>
      </c>
      <c r="AJ37" s="1">
        <v>5.7880360000000001E-4</v>
      </c>
      <c r="AK37" s="1">
        <v>5.7177770000000001E-4</v>
      </c>
      <c r="AL37" s="1">
        <v>6.8696279999999998E-2</v>
      </c>
      <c r="AM37" s="1">
        <v>7.3066750000000001E-4</v>
      </c>
      <c r="AN37" s="1">
        <v>9.4869960000000002E-8</v>
      </c>
      <c r="AO37" s="1">
        <v>6.0710229999999998E-12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2389986000000</v>
      </c>
      <c r="BF37" s="1">
        <v>1.128795E+17</v>
      </c>
      <c r="BG37" s="1">
        <v>0.13574420000000001</v>
      </c>
      <c r="BH37" s="1">
        <v>0</v>
      </c>
      <c r="BI37" s="1">
        <v>8.6870640000000002E-8</v>
      </c>
      <c r="BJ37" s="1">
        <v>0</v>
      </c>
      <c r="BK37" s="1">
        <v>8.2769009999999997E-6</v>
      </c>
      <c r="BL37" s="1">
        <v>0.95335610000000004</v>
      </c>
      <c r="BM37" s="1">
        <v>764269.6</v>
      </c>
      <c r="BN37" s="1">
        <v>69325.960000000006</v>
      </c>
      <c r="BO37" s="1">
        <v>4.3750999999999998E-3</v>
      </c>
      <c r="BP37" s="1">
        <v>4.0968619999999998</v>
      </c>
      <c r="BQ37" s="1">
        <v>3.689744E-3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2.9775229999999999E-16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6.96089E-3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N37" s="1">
        <f t="shared" si="0"/>
        <v>1.1432998485904317E+17</v>
      </c>
      <c r="DP37" s="1">
        <f t="shared" si="1"/>
        <v>1.704963052696335E-6</v>
      </c>
      <c r="DQ37" s="1">
        <f t="shared" si="2"/>
        <v>0.98731317194844848</v>
      </c>
      <c r="DR37" s="1">
        <f t="shared" si="3"/>
        <v>1.7074707063127809E-7</v>
      </c>
      <c r="DS37" s="1">
        <f t="shared" si="4"/>
        <v>2.8819683690698736E-3</v>
      </c>
      <c r="DT37" s="1">
        <f t="shared" si="5"/>
        <v>2.0904279861023345E-5</v>
      </c>
      <c r="DU37" s="1">
        <f t="shared" si="6"/>
        <v>9.7820794901604408E-3</v>
      </c>
    </row>
    <row r="38" spans="1:125" x14ac:dyDescent="0.2">
      <c r="A38">
        <v>10212.117588999999</v>
      </c>
      <c r="B38">
        <v>10068.284947</v>
      </c>
      <c r="C38">
        <v>10355.950231000001</v>
      </c>
      <c r="D38">
        <v>1163.5045190000001</v>
      </c>
      <c r="E38" s="1">
        <v>1611.6289999999999</v>
      </c>
      <c r="F38" s="1">
        <v>11.725070000000001</v>
      </c>
      <c r="G38" s="1">
        <v>9.7508229999999994E-22</v>
      </c>
      <c r="H38" s="1">
        <v>120815900000</v>
      </c>
      <c r="I38" s="1">
        <v>8093495</v>
      </c>
      <c r="J38" s="1">
        <v>2.184677E-5</v>
      </c>
      <c r="K38" s="1">
        <v>2.327258E-3</v>
      </c>
      <c r="L38" s="1">
        <v>839853500000000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2.4930239999999999E-8</v>
      </c>
      <c r="Y38" s="1">
        <v>247306500000000</v>
      </c>
      <c r="Z38" s="1">
        <v>14662350000</v>
      </c>
      <c r="AA38" s="1">
        <v>3642841</v>
      </c>
      <c r="AB38" s="1">
        <v>0.146508</v>
      </c>
      <c r="AC38" s="1">
        <v>1305.674</v>
      </c>
      <c r="AD38" s="1">
        <v>1.091195E-19</v>
      </c>
      <c r="AE38" s="1">
        <v>2.3682940000000001E-15</v>
      </c>
      <c r="AF38" s="1">
        <v>2018.2349999999999</v>
      </c>
      <c r="AG38" s="1">
        <v>2.1612150000000002E-3</v>
      </c>
      <c r="AH38" s="1">
        <v>499.6748</v>
      </c>
      <c r="AI38" s="1">
        <v>4.3227350000000001E-4</v>
      </c>
      <c r="AJ38" s="1">
        <v>6.5989219999999999E-4</v>
      </c>
      <c r="AK38" s="1">
        <v>2.202839E-4</v>
      </c>
      <c r="AL38" s="1">
        <v>3.7016399999999998E-2</v>
      </c>
      <c r="AM38" s="1">
        <v>3.7499380000000001E-4</v>
      </c>
      <c r="AN38" s="1">
        <v>6.5750829999999996E-8</v>
      </c>
      <c r="AO38" s="1">
        <v>2.2712180000000001E-12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1977854000000</v>
      </c>
      <c r="BF38" s="1">
        <v>8.478577E+16</v>
      </c>
      <c r="BG38" s="1">
        <v>5.976625E-2</v>
      </c>
      <c r="BH38" s="1">
        <v>0</v>
      </c>
      <c r="BI38" s="1">
        <v>2.121652E-8</v>
      </c>
      <c r="BJ38" s="1">
        <v>0</v>
      </c>
      <c r="BK38" s="1">
        <v>3.3030520000000001E-6</v>
      </c>
      <c r="BL38" s="1">
        <v>0.45064140000000003</v>
      </c>
      <c r="BM38" s="1">
        <v>467255</v>
      </c>
      <c r="BN38" s="1">
        <v>38879.440000000002</v>
      </c>
      <c r="BO38" s="1">
        <v>1.8962759999999999E-3</v>
      </c>
      <c r="BP38" s="1">
        <v>1.320065</v>
      </c>
      <c r="BQ38" s="1">
        <v>1.208087E-3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6.3390500000000002E-17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2.9047190000000001E-3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N38" s="1">
        <f t="shared" si="0"/>
        <v>8.5875043344496304E+16</v>
      </c>
      <c r="DP38" s="1">
        <f t="shared" si="1"/>
        <v>1.4068802214787241E-6</v>
      </c>
      <c r="DQ38" s="1">
        <f t="shared" si="2"/>
        <v>0.98731560064398949</v>
      </c>
      <c r="DR38" s="1">
        <f t="shared" si="3"/>
        <v>1.707405251742409E-7</v>
      </c>
      <c r="DS38" s="1">
        <f t="shared" si="4"/>
        <v>2.8798413411904237E-3</v>
      </c>
      <c r="DT38" s="1">
        <f t="shared" si="5"/>
        <v>2.303176712314009E-5</v>
      </c>
      <c r="DU38" s="1">
        <f t="shared" si="6"/>
        <v>9.7799484843442107E-3</v>
      </c>
    </row>
    <row r="39" spans="1:125" x14ac:dyDescent="0.2">
      <c r="A39">
        <v>10499.782873</v>
      </c>
      <c r="B39">
        <v>10355.950231000001</v>
      </c>
      <c r="C39">
        <v>10643.615515</v>
      </c>
      <c r="D39">
        <v>1128.5085300000001</v>
      </c>
      <c r="E39" s="1">
        <v>1164.18</v>
      </c>
      <c r="F39" s="1">
        <v>7.5093540000000001</v>
      </c>
      <c r="G39" s="1">
        <v>5.5743289999999996E-22</v>
      </c>
      <c r="H39" s="1">
        <v>90945750000</v>
      </c>
      <c r="I39" s="1">
        <v>4967504</v>
      </c>
      <c r="J39" s="1">
        <v>1.222058E-5</v>
      </c>
      <c r="K39" s="1">
        <v>1.70123E-3</v>
      </c>
      <c r="L39" s="1">
        <v>625335100000000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2.3050520000000002E-8</v>
      </c>
      <c r="Y39" s="1">
        <v>184027900000000</v>
      </c>
      <c r="Z39" s="1">
        <v>10919500000</v>
      </c>
      <c r="AA39" s="1">
        <v>2018852</v>
      </c>
      <c r="AB39" s="1">
        <v>8.0687579999999995E-2</v>
      </c>
      <c r="AC39" s="1">
        <v>667.58280000000002</v>
      </c>
      <c r="AD39" s="1">
        <v>6.3412909999999999E-20</v>
      </c>
      <c r="AE39" s="1">
        <v>5.87897E-16</v>
      </c>
      <c r="AF39" s="1">
        <v>845.16740000000004</v>
      </c>
      <c r="AG39" s="1">
        <v>1.037098E-3</v>
      </c>
      <c r="AH39" s="1">
        <v>257.32990000000001</v>
      </c>
      <c r="AI39" s="1">
        <v>2.7039590000000002E-4</v>
      </c>
      <c r="AJ39" s="1">
        <v>1.186999E-3</v>
      </c>
      <c r="AK39" s="1">
        <v>1.000724E-4</v>
      </c>
      <c r="AL39" s="1">
        <v>1.9504919999999999E-2</v>
      </c>
      <c r="AM39" s="1">
        <v>2.3337330000000001E-4</v>
      </c>
      <c r="AN39" s="1">
        <v>7.0498709999999995E-8</v>
      </c>
      <c r="AO39" s="1">
        <v>1.0208060000000001E-12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1629903000000</v>
      </c>
      <c r="BF39" s="1">
        <v>6.314548E+16</v>
      </c>
      <c r="BG39" s="1">
        <v>3.8906490000000002E-2</v>
      </c>
      <c r="BH39" s="1">
        <v>0</v>
      </c>
      <c r="BI39" s="1">
        <v>7.3632269999999999E-9</v>
      </c>
      <c r="BJ39" s="1">
        <v>0</v>
      </c>
      <c r="BK39" s="1">
        <v>2.412117E-6</v>
      </c>
      <c r="BL39" s="1">
        <v>0.31534889999999999</v>
      </c>
      <c r="BM39" s="1">
        <v>346657.7</v>
      </c>
      <c r="BN39" s="1">
        <v>26586.11</v>
      </c>
      <c r="BO39" s="1">
        <v>1.012537E-3</v>
      </c>
      <c r="BP39" s="1">
        <v>0.40738760000000002</v>
      </c>
      <c r="BQ39" s="1">
        <v>4.6806670000000002E-4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1.522007E-17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1.7806250000000001E-3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N39" s="1">
        <f t="shared" si="0"/>
        <v>6.3956574775611376E+16</v>
      </c>
      <c r="DP39" s="1">
        <f t="shared" si="1"/>
        <v>1.4219921926569532E-6</v>
      </c>
      <c r="DQ39" s="1">
        <f t="shared" si="2"/>
        <v>0.98731803917803507</v>
      </c>
      <c r="DR39" s="1">
        <f t="shared" si="3"/>
        <v>1.7073303312928421E-7</v>
      </c>
      <c r="DS39" s="1">
        <f t="shared" si="4"/>
        <v>2.8773883005094193E-3</v>
      </c>
      <c r="DT39" s="1">
        <f t="shared" si="5"/>
        <v>2.5484526113514328E-5</v>
      </c>
      <c r="DU39" s="1">
        <f t="shared" si="6"/>
        <v>9.7774951550166442E-3</v>
      </c>
    </row>
    <row r="40" spans="1:125" x14ac:dyDescent="0.2">
      <c r="A40">
        <v>10787.448157999999</v>
      </c>
      <c r="B40">
        <v>10643.615515</v>
      </c>
      <c r="C40">
        <v>10931.2808</v>
      </c>
      <c r="D40">
        <v>1094.6801499999999</v>
      </c>
      <c r="E40" s="1">
        <v>832.34519999999998</v>
      </c>
      <c r="F40" s="1">
        <v>7.317342</v>
      </c>
      <c r="G40" s="1">
        <v>7.4366800000000004E-22</v>
      </c>
      <c r="H40" s="1">
        <v>84255260000</v>
      </c>
      <c r="I40" s="1">
        <v>3730877</v>
      </c>
      <c r="J40" s="1">
        <v>1.159583E-5</v>
      </c>
      <c r="K40" s="1">
        <v>1.895189E-3</v>
      </c>
      <c r="L40" s="1">
        <v>460776900000000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5.3526880000000002E-8</v>
      </c>
      <c r="Y40" s="1">
        <v>135508300000000</v>
      </c>
      <c r="Z40" s="1">
        <v>8047798000</v>
      </c>
      <c r="AA40" s="1">
        <v>1101600</v>
      </c>
      <c r="AB40" s="1">
        <v>4.041931E-2</v>
      </c>
      <c r="AC40" s="1">
        <v>334.32389999999998</v>
      </c>
      <c r="AD40" s="1">
        <v>5.7919249999999999E-20</v>
      </c>
      <c r="AE40" s="1">
        <v>2.5309510000000001E-16</v>
      </c>
      <c r="AF40" s="1">
        <v>403.18869999999998</v>
      </c>
      <c r="AG40" s="1">
        <v>6.0459239999999996E-4</v>
      </c>
      <c r="AH40" s="1">
        <v>129.94040000000001</v>
      </c>
      <c r="AI40" s="1">
        <v>2.0692179999999999E-4</v>
      </c>
      <c r="AJ40" s="1">
        <v>3.3280760000000001E-3</v>
      </c>
      <c r="AK40" s="1">
        <v>5.5185519999999997E-5</v>
      </c>
      <c r="AL40" s="1">
        <v>1.020415E-2</v>
      </c>
      <c r="AM40" s="1">
        <v>1.775553E-4</v>
      </c>
      <c r="AN40" s="1">
        <v>1.1644229999999999E-7</v>
      </c>
      <c r="AO40" s="1">
        <v>5.5820679999999997E-13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1332067000000</v>
      </c>
      <c r="BF40" s="1">
        <v>4.654194E+16</v>
      </c>
      <c r="BG40" s="1">
        <v>3.8603730000000003E-2</v>
      </c>
      <c r="BH40" s="1">
        <v>0</v>
      </c>
      <c r="BI40" s="1">
        <v>3.8271259999999998E-9</v>
      </c>
      <c r="BJ40" s="1">
        <v>0</v>
      </c>
      <c r="BK40" s="1">
        <v>3.3679329999999998E-6</v>
      </c>
      <c r="BL40" s="1">
        <v>0.33679429999999999</v>
      </c>
      <c r="BM40" s="1">
        <v>316313.09999999998</v>
      </c>
      <c r="BN40" s="1">
        <v>22276.11</v>
      </c>
      <c r="BO40" s="1">
        <v>6.8596260000000002E-4</v>
      </c>
      <c r="BP40" s="1">
        <v>0.1345402</v>
      </c>
      <c r="BQ40" s="1">
        <v>2.5616799999999998E-4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4.0319490000000001E-18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1.65979E-3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N40" s="1">
        <f t="shared" si="0"/>
        <v>4.7139649575229944E+16</v>
      </c>
      <c r="DP40" s="1">
        <f t="shared" si="1"/>
        <v>1.7873543982446756E-6</v>
      </c>
      <c r="DQ40" s="1">
        <f t="shared" si="2"/>
        <v>0.9873204493326565</v>
      </c>
      <c r="DR40" s="1">
        <f t="shared" si="3"/>
        <v>1.7072248250714204E-7</v>
      </c>
      <c r="DS40" s="1">
        <f t="shared" si="4"/>
        <v>2.8746140716159321E-3</v>
      </c>
      <c r="DT40" s="1">
        <f t="shared" si="5"/>
        <v>2.825788931405102E-5</v>
      </c>
      <c r="DU40" s="1">
        <f t="shared" si="6"/>
        <v>9.7747205198173634E-3</v>
      </c>
    </row>
    <row r="41" spans="1:125" x14ac:dyDescent="0.2">
      <c r="A41">
        <v>11075.113442</v>
      </c>
      <c r="B41">
        <v>10931.2808</v>
      </c>
      <c r="C41">
        <v>11218.946083999999</v>
      </c>
      <c r="D41">
        <v>1062.400371</v>
      </c>
      <c r="E41" s="1">
        <v>589.08500000000004</v>
      </c>
      <c r="F41" s="1">
        <v>9.7049590000000006</v>
      </c>
      <c r="G41" s="1">
        <v>1.8367599999999999E-21</v>
      </c>
      <c r="H41" s="1">
        <v>90930900000</v>
      </c>
      <c r="I41" s="1">
        <v>3253119</v>
      </c>
      <c r="J41" s="1">
        <v>1.62725E-5</v>
      </c>
      <c r="K41" s="1">
        <v>2.861223E-3</v>
      </c>
      <c r="L41" s="1">
        <v>335912200000000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2.4313069999999998E-7</v>
      </c>
      <c r="Y41" s="1">
        <v>98711690000000</v>
      </c>
      <c r="Z41" s="1">
        <v>5868303000</v>
      </c>
      <c r="AA41" s="1">
        <v>592297.1</v>
      </c>
      <c r="AB41" s="1">
        <v>1.676621E-2</v>
      </c>
      <c r="AC41" s="1">
        <v>165.04419999999999</v>
      </c>
      <c r="AD41" s="1">
        <v>7.4334480000000005E-20</v>
      </c>
      <c r="AE41" s="1">
        <v>2.6091800000000002E-16</v>
      </c>
      <c r="AF41" s="1">
        <v>336.18040000000002</v>
      </c>
      <c r="AG41" s="1">
        <v>4.1554210000000001E-4</v>
      </c>
      <c r="AH41" s="1">
        <v>66.078280000000007</v>
      </c>
      <c r="AI41" s="1">
        <v>1.8684649999999999E-4</v>
      </c>
      <c r="AJ41" s="1">
        <v>1.268531E-2</v>
      </c>
      <c r="AK41" s="1">
        <v>3.5231370000000001E-5</v>
      </c>
      <c r="AL41" s="1">
        <v>5.4219519999999998E-3</v>
      </c>
      <c r="AM41" s="1">
        <v>1.5606809999999999E-4</v>
      </c>
      <c r="AN41" s="1">
        <v>2.6201390000000001E-7</v>
      </c>
      <c r="AO41" s="1">
        <v>3.5197869999999999E-13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1078501000000</v>
      </c>
      <c r="BF41" s="1">
        <v>3.394058E+16</v>
      </c>
      <c r="BG41" s="1">
        <v>5.224993E-2</v>
      </c>
      <c r="BH41" s="1">
        <v>0</v>
      </c>
      <c r="BI41" s="1">
        <v>2.6964659999999999E-9</v>
      </c>
      <c r="BJ41" s="1">
        <v>0</v>
      </c>
      <c r="BK41" s="1">
        <v>7.5753159999999997E-6</v>
      </c>
      <c r="BL41" s="1">
        <v>0.49149320000000002</v>
      </c>
      <c r="BM41" s="1">
        <v>335714</v>
      </c>
      <c r="BN41" s="1">
        <v>21557.63</v>
      </c>
      <c r="BO41" s="1">
        <v>5.6438409999999995E-4</v>
      </c>
      <c r="BP41" s="1">
        <v>4.7526449999999998E-2</v>
      </c>
      <c r="BQ41" s="1">
        <v>2.874369E-4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1.0210379999999999E-18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2.1094450000000002E-3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N41" s="1">
        <f t="shared" si="0"/>
        <v>3.437637919440626E+16</v>
      </c>
      <c r="DP41" s="1">
        <f t="shared" si="1"/>
        <v>2.6451564164383061E-6</v>
      </c>
      <c r="DQ41" s="1">
        <f t="shared" si="2"/>
        <v>0.98732271389195136</v>
      </c>
      <c r="DR41" s="1">
        <f t="shared" si="3"/>
        <v>1.7070741996454625E-7</v>
      </c>
      <c r="DS41" s="1">
        <f t="shared" si="4"/>
        <v>2.871497589718885E-3</v>
      </c>
      <c r="DT41" s="1">
        <f t="shared" si="5"/>
        <v>3.1373315784679675E-5</v>
      </c>
      <c r="DU41" s="1">
        <f t="shared" si="6"/>
        <v>9.7715992164369592E-3</v>
      </c>
    </row>
    <row r="42" spans="1:125" x14ac:dyDescent="0.2">
      <c r="A42">
        <v>11362.778726</v>
      </c>
      <c r="B42">
        <v>11218.946083999999</v>
      </c>
      <c r="C42">
        <v>11506.611368</v>
      </c>
      <c r="D42">
        <v>1032.766165</v>
      </c>
      <c r="E42" s="1">
        <v>412.65679999999998</v>
      </c>
      <c r="F42" s="1">
        <v>15.38705</v>
      </c>
      <c r="G42" s="1">
        <v>6.3174239999999997E-21</v>
      </c>
      <c r="H42" s="1">
        <v>106591100000</v>
      </c>
      <c r="I42" s="1">
        <v>3098579</v>
      </c>
      <c r="J42" s="1">
        <v>2.7183469999999999E-5</v>
      </c>
      <c r="K42" s="1">
        <v>4.9830339999999999E-3</v>
      </c>
      <c r="L42" s="1">
        <v>241976200000000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1.599781E-6</v>
      </c>
      <c r="Y42" s="1">
        <v>71048320000000</v>
      </c>
      <c r="Z42" s="1">
        <v>4228188000</v>
      </c>
      <c r="AA42" s="1">
        <v>312204.7</v>
      </c>
      <c r="AB42" s="1">
        <v>5.2419199999999997E-3</v>
      </c>
      <c r="AC42" s="1">
        <v>81.369649999999993</v>
      </c>
      <c r="AD42" s="1">
        <v>1.122936E-19</v>
      </c>
      <c r="AE42" s="1">
        <v>6.0459980000000004E-16</v>
      </c>
      <c r="AF42" s="1">
        <v>513.5521</v>
      </c>
      <c r="AG42" s="1">
        <v>3.2759279999999998E-4</v>
      </c>
      <c r="AH42" s="1">
        <v>35.177219999999998</v>
      </c>
      <c r="AI42" s="1">
        <v>1.8944280000000001E-4</v>
      </c>
      <c r="AJ42" s="1">
        <v>5.2443980000000001E-2</v>
      </c>
      <c r="AK42" s="1">
        <v>2.4776059999999999E-5</v>
      </c>
      <c r="AL42" s="1">
        <v>3.049192E-3</v>
      </c>
      <c r="AM42" s="1">
        <v>1.4689649999999999E-4</v>
      </c>
      <c r="AN42" s="1">
        <v>6.7051910000000002E-7</v>
      </c>
      <c r="AO42" s="1">
        <v>2.3627690000000001E-13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860986300000</v>
      </c>
      <c r="BF42" s="1">
        <v>2.445781E+16</v>
      </c>
      <c r="BG42" s="1">
        <v>8.4519570000000002E-2</v>
      </c>
      <c r="BH42" s="1">
        <v>0</v>
      </c>
      <c r="BI42" s="1">
        <v>2.3186599999999999E-9</v>
      </c>
      <c r="BJ42" s="1">
        <v>0</v>
      </c>
      <c r="BK42" s="1">
        <v>2.238181E-5</v>
      </c>
      <c r="BL42" s="1">
        <v>0.8583577</v>
      </c>
      <c r="BM42" s="1">
        <v>387161.2</v>
      </c>
      <c r="BN42" s="1">
        <v>22283</v>
      </c>
      <c r="BO42" s="1">
        <v>5.2235059999999997E-4</v>
      </c>
      <c r="BP42" s="1">
        <v>1.591511E-2</v>
      </c>
      <c r="BQ42" s="1">
        <v>6.511167E-4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2.151769E-19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3.2203330000000001E-3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N42" s="1">
        <f t="shared" si="0"/>
        <v>2.4771806329408872E+16</v>
      </c>
      <c r="DP42" s="1">
        <f t="shared" si="1"/>
        <v>4.3029199640341116E-6</v>
      </c>
      <c r="DQ42" s="1">
        <f t="shared" si="2"/>
        <v>0.9873244475904005</v>
      </c>
      <c r="DR42" s="1">
        <f t="shared" si="3"/>
        <v>1.7068549397547695E-7</v>
      </c>
      <c r="DS42" s="1">
        <f t="shared" si="4"/>
        <v>2.8681122020420471E-3</v>
      </c>
      <c r="DT42" s="1">
        <f t="shared" si="5"/>
        <v>3.4756702379747114E-5</v>
      </c>
      <c r="DU42" s="1">
        <f t="shared" si="6"/>
        <v>9.7682097454769769E-3</v>
      </c>
    </row>
    <row r="43" spans="1:125" x14ac:dyDescent="0.2">
      <c r="A43">
        <v>11650.444009999999</v>
      </c>
      <c r="B43">
        <v>11506.611368</v>
      </c>
      <c r="C43">
        <v>11794.276652</v>
      </c>
      <c r="D43">
        <v>1006.304603</v>
      </c>
      <c r="E43" s="1">
        <v>286.22559999999999</v>
      </c>
      <c r="F43" s="1">
        <v>26.808520000000001</v>
      </c>
      <c r="G43" s="1">
        <v>2.4833730000000001E-20</v>
      </c>
      <c r="H43" s="1">
        <v>129600000000</v>
      </c>
      <c r="I43" s="1">
        <v>3097760</v>
      </c>
      <c r="J43" s="1">
        <v>4.6240430000000001E-5</v>
      </c>
      <c r="K43" s="1">
        <v>8.8010740000000007E-3</v>
      </c>
      <c r="L43" s="1">
        <v>172188600000000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1.255245E-5</v>
      </c>
      <c r="Y43" s="1">
        <v>50512590000000</v>
      </c>
      <c r="Z43" s="1">
        <v>3009287000</v>
      </c>
      <c r="AA43" s="1">
        <v>160812.5</v>
      </c>
      <c r="AB43" s="1">
        <v>1.2776350000000001E-3</v>
      </c>
      <c r="AC43" s="1">
        <v>40.512360000000001</v>
      </c>
      <c r="AD43" s="1">
        <v>1.7370690000000001E-19</v>
      </c>
      <c r="AE43" s="1">
        <v>1.7107750000000001E-15</v>
      </c>
      <c r="AF43" s="1">
        <v>841.75260000000003</v>
      </c>
      <c r="AG43" s="1">
        <v>3.0957469999999998E-4</v>
      </c>
      <c r="AH43" s="1">
        <v>21.50967</v>
      </c>
      <c r="AI43" s="1">
        <v>2.2273559999999999E-4</v>
      </c>
      <c r="AJ43" s="1">
        <v>0.18623819999999999</v>
      </c>
      <c r="AK43" s="1">
        <v>1.860976E-5</v>
      </c>
      <c r="AL43" s="1">
        <v>1.9059630000000001E-3</v>
      </c>
      <c r="AM43" s="1">
        <v>1.4086449999999999E-4</v>
      </c>
      <c r="AN43" s="1">
        <v>1.729181E-6</v>
      </c>
      <c r="AO43" s="1">
        <v>1.6056260000000001E-13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676467200000</v>
      </c>
      <c r="BF43" s="1">
        <v>1.741047E+16</v>
      </c>
      <c r="BG43" s="1">
        <v>0.14989440000000001</v>
      </c>
      <c r="BH43" s="1">
        <v>0</v>
      </c>
      <c r="BI43" s="1">
        <v>2.2726419999999999E-9</v>
      </c>
      <c r="BJ43" s="1">
        <v>0</v>
      </c>
      <c r="BK43" s="1">
        <v>7.5778659999999997E-5</v>
      </c>
      <c r="BL43" s="1">
        <v>1.640668</v>
      </c>
      <c r="BM43" s="1">
        <v>463512.4</v>
      </c>
      <c r="BN43" s="1">
        <v>23342.11</v>
      </c>
      <c r="BO43" s="1">
        <v>5.0988080000000005E-4</v>
      </c>
      <c r="BP43" s="1">
        <v>4.6952809999999999E-3</v>
      </c>
      <c r="BQ43" s="1">
        <v>1.6703810000000001E-3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3.7979949999999997E-20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5.4223420000000001E-3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N43" s="1">
        <f t="shared" si="0"/>
        <v>1.763398027023336E+16</v>
      </c>
      <c r="DP43" s="1">
        <f t="shared" si="1"/>
        <v>7.3494468074668511E-6</v>
      </c>
      <c r="DQ43" s="1">
        <f t="shared" si="2"/>
        <v>0.98732502436726377</v>
      </c>
      <c r="DR43" s="1">
        <f t="shared" si="3"/>
        <v>1.7065273715201773E-7</v>
      </c>
      <c r="DS43" s="1">
        <f t="shared" si="4"/>
        <v>2.864503034817762E-3</v>
      </c>
      <c r="DT43" s="1">
        <f t="shared" si="5"/>
        <v>3.836157178546327E-5</v>
      </c>
      <c r="DU43" s="1">
        <f t="shared" si="6"/>
        <v>9.7645907141372425E-3</v>
      </c>
    </row>
    <row r="44" spans="1:125" x14ac:dyDescent="0.2">
      <c r="A44">
        <v>11938.109294</v>
      </c>
      <c r="B44">
        <v>11794.276652</v>
      </c>
      <c r="C44">
        <v>12081.941935999999</v>
      </c>
      <c r="D44">
        <v>982.17872799999998</v>
      </c>
      <c r="E44" s="1">
        <v>196.7225</v>
      </c>
      <c r="F44" s="1">
        <v>48.762410000000003</v>
      </c>
      <c r="G44" s="1">
        <v>9.8210559999999997E-20</v>
      </c>
      <c r="H44" s="1">
        <v>159575800000</v>
      </c>
      <c r="I44" s="1">
        <v>3160891</v>
      </c>
      <c r="J44" s="1">
        <v>7.1289570000000001E-5</v>
      </c>
      <c r="K44" s="1">
        <v>1.41098E-2</v>
      </c>
      <c r="L44" s="1">
        <v>121204400000000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1.061554E-4</v>
      </c>
      <c r="Y44" s="1">
        <v>35522450000000</v>
      </c>
      <c r="Z44" s="1">
        <v>2118469000</v>
      </c>
      <c r="AA44" s="1">
        <v>81048.350000000006</v>
      </c>
      <c r="AB44" s="1">
        <v>2.6894160000000001E-4</v>
      </c>
      <c r="AC44" s="1">
        <v>20.29064</v>
      </c>
      <c r="AD44" s="1">
        <v>2.5632470000000002E-19</v>
      </c>
      <c r="AE44" s="1">
        <v>4.5679059999999996E-15</v>
      </c>
      <c r="AF44" s="1">
        <v>1219.223</v>
      </c>
      <c r="AG44" s="1">
        <v>3.8541170000000002E-4</v>
      </c>
      <c r="AH44" s="1">
        <v>17.251380000000001</v>
      </c>
      <c r="AI44" s="1">
        <v>3.4105790000000001E-4</v>
      </c>
      <c r="AJ44" s="1">
        <v>0.46281299999999997</v>
      </c>
      <c r="AK44" s="1">
        <v>1.4463950000000001E-5</v>
      </c>
      <c r="AL44" s="1">
        <v>1.3662800000000001E-3</v>
      </c>
      <c r="AM44" s="1">
        <v>1.348489E-4</v>
      </c>
      <c r="AN44" s="1">
        <v>4.3627160000000002E-6</v>
      </c>
      <c r="AO44" s="1">
        <v>1.0913639999999999E-13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523921100000</v>
      </c>
      <c r="BF44" s="1">
        <v>1.226014E+16</v>
      </c>
      <c r="BG44" s="1">
        <v>0.2766961</v>
      </c>
      <c r="BH44" s="1">
        <v>0</v>
      </c>
      <c r="BI44" s="1">
        <v>2.3813199999999998E-9</v>
      </c>
      <c r="BJ44" s="1">
        <v>0</v>
      </c>
      <c r="BK44" s="1">
        <v>2.7199510000000001E-4</v>
      </c>
      <c r="BL44" s="1">
        <v>3.2568619999999999</v>
      </c>
      <c r="BM44" s="1">
        <v>561853.9</v>
      </c>
      <c r="BN44" s="1">
        <v>24283.63</v>
      </c>
      <c r="BO44" s="1">
        <v>5.0768510000000005E-4</v>
      </c>
      <c r="BP44" s="1">
        <v>1.2307360000000001E-3</v>
      </c>
      <c r="BQ44" s="1">
        <v>3.883924E-3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6.2015819999999999E-21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9.5291860000000003E-3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N44" s="1">
        <f t="shared" si="0"/>
        <v>1.2417552469198388E+16</v>
      </c>
      <c r="DP44" s="1">
        <f t="shared" si="1"/>
        <v>1.2850825506542142E-5</v>
      </c>
      <c r="DQ44" s="1">
        <f t="shared" si="2"/>
        <v>0.98732339004897718</v>
      </c>
      <c r="DR44" s="1">
        <f t="shared" si="3"/>
        <v>1.706027822515621E-7</v>
      </c>
      <c r="DS44" s="1">
        <f t="shared" si="4"/>
        <v>2.8606643771478374E-3</v>
      </c>
      <c r="DT44" s="1">
        <f t="shared" si="5"/>
        <v>4.219197795214322E-5</v>
      </c>
      <c r="DU44" s="1">
        <f t="shared" si="6"/>
        <v>9.7607318592489358E-3</v>
      </c>
    </row>
    <row r="45" spans="1:125" x14ac:dyDescent="0.2">
      <c r="A45">
        <v>12225.774579000001</v>
      </c>
      <c r="B45">
        <v>12081.941935999999</v>
      </c>
      <c r="C45">
        <v>12369.607221</v>
      </c>
      <c r="D45">
        <v>960.567767</v>
      </c>
      <c r="E45" s="1">
        <v>133.99959999999999</v>
      </c>
      <c r="F45" s="1">
        <v>90.51876</v>
      </c>
      <c r="G45" s="1">
        <v>3.566222E-19</v>
      </c>
      <c r="H45" s="1">
        <v>196350300000</v>
      </c>
      <c r="I45" s="1">
        <v>3260265</v>
      </c>
      <c r="J45" s="1">
        <v>8.7811259999999995E-5</v>
      </c>
      <c r="K45" s="1">
        <v>1.805418E-2</v>
      </c>
      <c r="L45" s="1">
        <v>84382490000000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9.160212E-4</v>
      </c>
      <c r="Y45" s="1">
        <v>24706260000000</v>
      </c>
      <c r="Z45" s="1">
        <v>1474822000</v>
      </c>
      <c r="AA45" s="1">
        <v>39930.51</v>
      </c>
      <c r="AB45" s="1">
        <v>5.3545589999999997E-5</v>
      </c>
      <c r="AC45" s="1">
        <v>10.28023</v>
      </c>
      <c r="AD45" s="1">
        <v>3.5777679999999999E-19</v>
      </c>
      <c r="AE45" s="1">
        <v>1.131913E-14</v>
      </c>
      <c r="AF45" s="1">
        <v>1557.845</v>
      </c>
      <c r="AG45" s="1">
        <v>5.632829E-4</v>
      </c>
      <c r="AH45" s="1">
        <v>16.626300000000001</v>
      </c>
      <c r="AI45" s="1">
        <v>6.104274E-4</v>
      </c>
      <c r="AJ45" s="1">
        <v>0.74816439999999995</v>
      </c>
      <c r="AK45" s="1">
        <v>1.157435E-5</v>
      </c>
      <c r="AL45" s="1">
        <v>1.1180579999999999E-3</v>
      </c>
      <c r="AM45" s="1">
        <v>1.2685800000000001E-4</v>
      </c>
      <c r="AN45" s="1">
        <v>1.0317330000000001E-5</v>
      </c>
      <c r="AO45" s="1">
        <v>7.5289130000000005E-14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399510800000</v>
      </c>
      <c r="BF45" s="1">
        <v>8539000000000000</v>
      </c>
      <c r="BG45" s="1">
        <v>0.51841459999999995</v>
      </c>
      <c r="BH45" s="1">
        <v>0</v>
      </c>
      <c r="BI45" s="1">
        <v>2.6332359999999999E-9</v>
      </c>
      <c r="BJ45" s="1">
        <v>0</v>
      </c>
      <c r="BK45" s="1">
        <v>9.9741869999999994E-4</v>
      </c>
      <c r="BL45" s="1">
        <v>6.5555349999999999</v>
      </c>
      <c r="BM45" s="1">
        <v>680963.7</v>
      </c>
      <c r="BN45" s="1">
        <v>24690.53</v>
      </c>
      <c r="BO45" s="1">
        <v>5.2763470000000005E-4</v>
      </c>
      <c r="BP45" s="1">
        <v>2.9477799999999999E-4</v>
      </c>
      <c r="BQ45" s="1">
        <v>8.0862429999999999E-3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1.4320960000000001E-21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1.710774E-2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N45" s="1">
        <f t="shared" si="0"/>
        <v>8648686089929535</v>
      </c>
      <c r="DP45" s="1">
        <f t="shared" si="1"/>
        <v>2.2702905153261236E-5</v>
      </c>
      <c r="DQ45" s="1">
        <f t="shared" si="2"/>
        <v>0.98731760075588215</v>
      </c>
      <c r="DR45" s="1">
        <f t="shared" si="3"/>
        <v>1.705255555196149E-7</v>
      </c>
      <c r="DS45" s="1">
        <f t="shared" si="4"/>
        <v>2.8566489456436374E-3</v>
      </c>
      <c r="DT45" s="1">
        <f t="shared" si="5"/>
        <v>4.619323627263884E-5</v>
      </c>
      <c r="DU45" s="1">
        <f t="shared" si="6"/>
        <v>9.7566831681235762E-3</v>
      </c>
    </row>
    <row r="46" spans="1:125" x14ac:dyDescent="0.2">
      <c r="A46">
        <v>12513.439863</v>
      </c>
      <c r="B46">
        <v>12369.607221</v>
      </c>
      <c r="C46">
        <v>12657.272505000001</v>
      </c>
      <c r="D46">
        <v>941.43831699999998</v>
      </c>
      <c r="E46" s="1">
        <v>90.544280000000001</v>
      </c>
      <c r="F46" s="1">
        <v>169.53460000000001</v>
      </c>
      <c r="G46" s="1">
        <v>1.1293780000000001E-18</v>
      </c>
      <c r="H46" s="1">
        <v>239931900000</v>
      </c>
      <c r="I46" s="1">
        <v>3384827</v>
      </c>
      <c r="J46" s="1">
        <v>8.2077429999999997E-5</v>
      </c>
      <c r="K46" s="1">
        <v>1.7461850000000001E-2</v>
      </c>
      <c r="L46" s="1">
        <v>58151680000000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7.8281319999999998E-3</v>
      </c>
      <c r="Y46" s="1">
        <v>17008770000000</v>
      </c>
      <c r="Z46" s="1">
        <v>1016077000</v>
      </c>
      <c r="AA46" s="1">
        <v>19256.490000000002</v>
      </c>
      <c r="AB46" s="1">
        <v>1.05838E-5</v>
      </c>
      <c r="AC46" s="1">
        <v>5.2929579999999996</v>
      </c>
      <c r="AD46" s="1">
        <v>4.9440670000000001E-19</v>
      </c>
      <c r="AE46" s="1">
        <v>2.6513370000000001E-14</v>
      </c>
      <c r="AF46" s="1">
        <v>1802.9</v>
      </c>
      <c r="AG46" s="1">
        <v>7.9840279999999998E-4</v>
      </c>
      <c r="AH46" s="1">
        <v>16.394549999999999</v>
      </c>
      <c r="AI46" s="1">
        <v>1.0760920000000001E-3</v>
      </c>
      <c r="AJ46" s="1">
        <v>0.92383199999999999</v>
      </c>
      <c r="AK46" s="1">
        <v>9.5294420000000005E-6</v>
      </c>
      <c r="AL46" s="1">
        <v>9.9990819999999994E-4</v>
      </c>
      <c r="AM46" s="1">
        <v>1.164845E-4</v>
      </c>
      <c r="AN46" s="1">
        <v>2.2400389999999999E-5</v>
      </c>
      <c r="AO46" s="1">
        <v>5.8858399999999999E-14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300037300000</v>
      </c>
      <c r="BF46" s="1">
        <v>5887062000000000</v>
      </c>
      <c r="BG46" s="1">
        <v>0.97642510000000005</v>
      </c>
      <c r="BH46" s="1">
        <v>0</v>
      </c>
      <c r="BI46" s="1">
        <v>3.055012E-9</v>
      </c>
      <c r="BJ46" s="1">
        <v>0</v>
      </c>
      <c r="BK46" s="1">
        <v>3.6661380000000002E-3</v>
      </c>
      <c r="BL46" s="1">
        <v>13.218970000000001</v>
      </c>
      <c r="BM46" s="1">
        <v>820325</v>
      </c>
      <c r="BN46" s="1">
        <v>24364.639999999999</v>
      </c>
      <c r="BO46" s="1">
        <v>6.0103450000000003E-4</v>
      </c>
      <c r="BP46" s="1">
        <v>6.6013510000000001E-5</v>
      </c>
      <c r="BQ46" s="1">
        <v>1.539009E-2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1.172152E-21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3.1042170000000001E-2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N46" s="1">
        <f t="shared" si="0"/>
        <v>5962763439527783</v>
      </c>
      <c r="DP46" s="1">
        <f t="shared" si="1"/>
        <v>4.0238373102220746E-5</v>
      </c>
      <c r="DQ46" s="1">
        <f t="shared" si="2"/>
        <v>0.9873043027288404</v>
      </c>
      <c r="DR46" s="1">
        <f t="shared" si="3"/>
        <v>1.7040370799624872E-7</v>
      </c>
      <c r="DS46" s="1">
        <f t="shared" si="4"/>
        <v>2.8524978682278562E-3</v>
      </c>
      <c r="DT46" s="1">
        <f t="shared" si="5"/>
        <v>5.0318497965393246E-5</v>
      </c>
      <c r="DU46" s="1">
        <f t="shared" si="6"/>
        <v>9.7524714152680322E-3</v>
      </c>
    </row>
    <row r="47" spans="1:125" x14ac:dyDescent="0.2">
      <c r="A47">
        <v>12801.105147</v>
      </c>
      <c r="B47">
        <v>12657.272505000001</v>
      </c>
      <c r="C47">
        <v>12944.937789</v>
      </c>
      <c r="D47">
        <v>923.78513799999996</v>
      </c>
      <c r="E47" s="1">
        <v>60.710320000000003</v>
      </c>
      <c r="F47" s="1">
        <v>315.51920000000001</v>
      </c>
      <c r="G47" s="1">
        <v>3.07093E-18</v>
      </c>
      <c r="H47" s="1">
        <v>290020500000</v>
      </c>
      <c r="I47" s="1">
        <v>3499122</v>
      </c>
      <c r="J47" s="1">
        <v>6.1862719999999994E-5</v>
      </c>
      <c r="K47" s="1">
        <v>1.35481E-2</v>
      </c>
      <c r="L47" s="1">
        <v>39718740000000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6.5261070000000004E-2</v>
      </c>
      <c r="Y47" s="1">
        <v>11605090000000</v>
      </c>
      <c r="Z47" s="1">
        <v>693525200</v>
      </c>
      <c r="AA47" s="1">
        <v>9115.9740000000002</v>
      </c>
      <c r="AB47" s="1">
        <v>2.07661E-6</v>
      </c>
      <c r="AC47" s="1">
        <v>2.7433670000000001</v>
      </c>
      <c r="AD47" s="1">
        <v>7.0724320000000004E-19</v>
      </c>
      <c r="AE47" s="1">
        <v>5.8186029999999998E-14</v>
      </c>
      <c r="AF47" s="1">
        <v>1928.5519999999999</v>
      </c>
      <c r="AG47" s="1">
        <v>1.016311E-3</v>
      </c>
      <c r="AH47" s="1">
        <v>15.88457</v>
      </c>
      <c r="AI47" s="1">
        <v>1.8162779999999999E-3</v>
      </c>
      <c r="AJ47" s="1">
        <v>1.01169</v>
      </c>
      <c r="AK47" s="1">
        <v>7.9268800000000006E-6</v>
      </c>
      <c r="AL47" s="1">
        <v>9.3640919999999999E-4</v>
      </c>
      <c r="AM47" s="1">
        <v>1.044906E-4</v>
      </c>
      <c r="AN47" s="1">
        <v>4.5769790000000003E-5</v>
      </c>
      <c r="AO47" s="1">
        <v>6.7376149999999998E-14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222321500000</v>
      </c>
      <c r="BF47" s="1">
        <v>4022686000000000</v>
      </c>
      <c r="BG47" s="1">
        <v>1.829339</v>
      </c>
      <c r="BH47" s="1">
        <v>0</v>
      </c>
      <c r="BI47" s="1">
        <v>3.5886599999999999E-9</v>
      </c>
      <c r="BJ47" s="1">
        <v>0</v>
      </c>
      <c r="BK47" s="1">
        <v>1.328812E-2</v>
      </c>
      <c r="BL47" s="1">
        <v>26.37528</v>
      </c>
      <c r="BM47" s="1">
        <v>977651.3</v>
      </c>
      <c r="BN47" s="1">
        <v>23428.43</v>
      </c>
      <c r="BO47" s="1">
        <v>7.6953660000000001E-4</v>
      </c>
      <c r="BP47" s="1">
        <v>1.408844E-5</v>
      </c>
      <c r="BQ47" s="1">
        <v>2.7094119999999999E-2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1.9824600000000001E-21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5.5982499999999998E-2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N47" s="1">
        <f t="shared" si="0"/>
        <v>4074522870036810.5</v>
      </c>
      <c r="DP47" s="1">
        <f t="shared" si="1"/>
        <v>7.117900899090545E-5</v>
      </c>
      <c r="DQ47" s="1">
        <f t="shared" si="2"/>
        <v>0.98727780609160198</v>
      </c>
      <c r="DR47" s="1">
        <f t="shared" si="3"/>
        <v>1.702101625444391E-7</v>
      </c>
      <c r="DS47" s="1">
        <f t="shared" si="4"/>
        <v>2.8482083351013699E-3</v>
      </c>
      <c r="DT47" s="1">
        <f t="shared" si="5"/>
        <v>5.4563812031810113E-5</v>
      </c>
      <c r="DU47" s="1">
        <f t="shared" si="6"/>
        <v>9.7480714348380064E-3</v>
      </c>
    </row>
    <row r="48" spans="1:125" x14ac:dyDescent="0.2">
      <c r="A48">
        <v>13088.770431000001</v>
      </c>
      <c r="B48">
        <v>12944.937789</v>
      </c>
      <c r="C48">
        <v>13232.603073</v>
      </c>
      <c r="D48">
        <v>907.48577799999998</v>
      </c>
      <c r="E48" s="1">
        <v>40.39931</v>
      </c>
      <c r="F48" s="1">
        <v>577.90340000000003</v>
      </c>
      <c r="G48" s="1">
        <v>7.284235E-18</v>
      </c>
      <c r="H48" s="1">
        <v>345171300000</v>
      </c>
      <c r="I48" s="1">
        <v>3585253</v>
      </c>
      <c r="J48" s="1">
        <v>4.1513990000000002E-5</v>
      </c>
      <c r="K48" s="1">
        <v>9.2663209999999992E-3</v>
      </c>
      <c r="L48" s="1">
        <v>26893360000000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0.51993009999999995</v>
      </c>
      <c r="Y48" s="1">
        <v>7849280000000</v>
      </c>
      <c r="Z48" s="1">
        <v>468952100</v>
      </c>
      <c r="AA48" s="1">
        <v>4237.9179999999997</v>
      </c>
      <c r="AB48" s="1">
        <v>4.206743E-7</v>
      </c>
      <c r="AC48" s="1">
        <v>1.438528</v>
      </c>
      <c r="AD48" s="1">
        <v>1.067574E-18</v>
      </c>
      <c r="AE48" s="1">
        <v>1.198167E-13</v>
      </c>
      <c r="AF48" s="1">
        <v>1928.723</v>
      </c>
      <c r="AG48" s="1">
        <v>1.1255449999999999E-3</v>
      </c>
      <c r="AH48" s="1">
        <v>14.96232</v>
      </c>
      <c r="AI48" s="1">
        <v>2.8904289999999999E-3</v>
      </c>
      <c r="AJ48" s="1">
        <v>1.034886</v>
      </c>
      <c r="AK48" s="1">
        <v>6.6659519999999997E-6</v>
      </c>
      <c r="AL48" s="1">
        <v>8.8572E-4</v>
      </c>
      <c r="AM48" s="1">
        <v>9.1149990000000006E-5</v>
      </c>
      <c r="AN48" s="1">
        <v>8.7176399999999994E-5</v>
      </c>
      <c r="AO48" s="1">
        <v>1.203707E-13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162560900000</v>
      </c>
      <c r="BF48" s="1">
        <v>2724889000000000</v>
      </c>
      <c r="BG48" s="1">
        <v>3.3790450000000001</v>
      </c>
      <c r="BH48" s="1">
        <v>0</v>
      </c>
      <c r="BI48" s="1">
        <v>4.2280639999999996E-9</v>
      </c>
      <c r="BJ48" s="1">
        <v>0</v>
      </c>
      <c r="BK48" s="1">
        <v>4.6800269999999998E-2</v>
      </c>
      <c r="BL48" s="1">
        <v>51.55771</v>
      </c>
      <c r="BM48" s="1">
        <v>1147071</v>
      </c>
      <c r="BN48" s="1">
        <v>21853.99</v>
      </c>
      <c r="BO48" s="1">
        <v>1.105885E-3</v>
      </c>
      <c r="BP48" s="1">
        <v>2.9351040000000002E-6</v>
      </c>
      <c r="BQ48" s="1">
        <v>4.4401469999999998E-2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3.5571599999999997E-21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9.9368460000000006E-2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N48" s="1">
        <f t="shared" si="0"/>
        <v>2760139845913095.5</v>
      </c>
      <c r="DP48" s="1">
        <f t="shared" si="1"/>
        <v>1.2505572879254319E-4</v>
      </c>
      <c r="DQ48" s="1">
        <f t="shared" si="2"/>
        <v>0.98722860149086611</v>
      </c>
      <c r="DR48" s="1">
        <f t="shared" si="3"/>
        <v>1.6990157244908135E-7</v>
      </c>
      <c r="DS48" s="1">
        <f t="shared" si="4"/>
        <v>2.8437979371307327E-3</v>
      </c>
      <c r="DT48" s="1">
        <f t="shared" si="5"/>
        <v>5.8895892626854354E-5</v>
      </c>
      <c r="DU48" s="1">
        <f t="shared" si="6"/>
        <v>9.7434773241003216E-3</v>
      </c>
    </row>
    <row r="49" spans="1:125" x14ac:dyDescent="0.2">
      <c r="A49">
        <v>13376.435715</v>
      </c>
      <c r="B49">
        <v>13232.603073</v>
      </c>
      <c r="C49">
        <v>13520.268357000001</v>
      </c>
      <c r="D49">
        <v>892.78329199999996</v>
      </c>
      <c r="E49" s="1">
        <v>26.697859999999999</v>
      </c>
      <c r="F49" s="1">
        <v>1031.2929999999999</v>
      </c>
      <c r="G49" s="1">
        <v>1.543172E-17</v>
      </c>
      <c r="H49" s="1">
        <v>401954800000</v>
      </c>
      <c r="I49" s="1">
        <v>3630459</v>
      </c>
      <c r="J49" s="1">
        <v>2.666495E-5</v>
      </c>
      <c r="K49" s="1">
        <v>5.9546010000000003E-3</v>
      </c>
      <c r="L49" s="1">
        <v>18057070000000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3.8331919999999999</v>
      </c>
      <c r="Y49" s="1">
        <v>5264546000000</v>
      </c>
      <c r="Z49" s="1">
        <v>314117800</v>
      </c>
      <c r="AA49" s="1">
        <v>1934.739</v>
      </c>
      <c r="AB49" s="1">
        <v>1.088643E-7</v>
      </c>
      <c r="AC49" s="1">
        <v>0.77889810000000004</v>
      </c>
      <c r="AD49" s="1">
        <v>1.675362E-18</v>
      </c>
      <c r="AE49" s="1">
        <v>2.3190730000000003E-13</v>
      </c>
      <c r="AF49" s="1">
        <v>1816.962</v>
      </c>
      <c r="AG49" s="1">
        <v>1.0742830000000001E-3</v>
      </c>
      <c r="AH49" s="1">
        <v>13.487679999999999</v>
      </c>
      <c r="AI49" s="1">
        <v>4.205149E-3</v>
      </c>
      <c r="AJ49" s="1">
        <v>0.99679059999999997</v>
      </c>
      <c r="AK49" s="1">
        <v>5.739115E-6</v>
      </c>
      <c r="AL49" s="1">
        <v>8.2068560000000002E-4</v>
      </c>
      <c r="AM49" s="1">
        <v>7.6736459999999997E-5</v>
      </c>
      <c r="AN49" s="1">
        <v>1.5039520000000001E-4</v>
      </c>
      <c r="AO49" s="1">
        <v>2.4894959999999999E-13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117267100000</v>
      </c>
      <c r="BF49" s="1">
        <v>1830319000000000</v>
      </c>
      <c r="BG49" s="1">
        <v>6.0876780000000004</v>
      </c>
      <c r="BH49" s="1">
        <v>0</v>
      </c>
      <c r="BI49" s="1">
        <v>4.9967109999999997E-9</v>
      </c>
      <c r="BJ49" s="1">
        <v>0</v>
      </c>
      <c r="BK49" s="1">
        <v>0.1569786</v>
      </c>
      <c r="BL49" s="1">
        <v>97.494439999999997</v>
      </c>
      <c r="BM49" s="1">
        <v>1316264</v>
      </c>
      <c r="BN49" s="1">
        <v>19576.73</v>
      </c>
      <c r="BO49" s="1">
        <v>1.7188189999999999E-3</v>
      </c>
      <c r="BP49" s="1">
        <v>6.4307180000000002E-7</v>
      </c>
      <c r="BQ49" s="1">
        <v>6.7818970000000006E-2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6.005013E-21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0.17180880000000001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N49" s="1">
        <f t="shared" si="0"/>
        <v>1854160156989005.8</v>
      </c>
      <c r="DP49" s="1">
        <f t="shared" si="1"/>
        <v>2.1678537233414587E-4</v>
      </c>
      <c r="DQ49" s="1">
        <f t="shared" si="2"/>
        <v>0.98714180277300223</v>
      </c>
      <c r="DR49" s="1">
        <f t="shared" si="3"/>
        <v>1.6941244197054686E-7</v>
      </c>
      <c r="DS49" s="1">
        <f t="shared" si="4"/>
        <v>2.8393156762408071E-3</v>
      </c>
      <c r="DT49" s="1">
        <f t="shared" si="5"/>
        <v>6.3245399572403466E-5</v>
      </c>
      <c r="DU49" s="1">
        <f t="shared" si="6"/>
        <v>9.7386786852992815E-3</v>
      </c>
    </row>
    <row r="50" spans="1:125" x14ac:dyDescent="0.2">
      <c r="A50">
        <v>13664.101000000001</v>
      </c>
      <c r="B50">
        <v>13520.268357000001</v>
      </c>
      <c r="C50">
        <v>13807.933642</v>
      </c>
      <c r="D50">
        <v>880.01898700000004</v>
      </c>
      <c r="E50" s="1">
        <v>17.532219999999999</v>
      </c>
      <c r="F50" s="1">
        <v>1774.521</v>
      </c>
      <c r="G50" s="1">
        <v>2.9638699999999999E-17</v>
      </c>
      <c r="H50" s="1">
        <v>454711900000</v>
      </c>
      <c r="I50" s="1">
        <v>3624404</v>
      </c>
      <c r="J50" s="1">
        <v>1.7104870000000001E-5</v>
      </c>
      <c r="K50" s="1">
        <v>3.7054190000000002E-3</v>
      </c>
      <c r="L50" s="1">
        <v>12024630000000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25.228809999999999</v>
      </c>
      <c r="Y50" s="1">
        <v>3502062000000</v>
      </c>
      <c r="Z50" s="1">
        <v>208343200</v>
      </c>
      <c r="AA50" s="1">
        <v>867.43690000000004</v>
      </c>
      <c r="AB50" s="1">
        <v>5.7439859999999999E-8</v>
      </c>
      <c r="AC50" s="1">
        <v>0.4544454</v>
      </c>
      <c r="AD50" s="1">
        <v>2.6453630000000002E-18</v>
      </c>
      <c r="AE50" s="1">
        <v>4.2390670000000002E-13</v>
      </c>
      <c r="AF50" s="1">
        <v>1623.971</v>
      </c>
      <c r="AG50" s="1">
        <v>8.9906730000000002E-4</v>
      </c>
      <c r="AH50" s="1">
        <v>11.474410000000001</v>
      </c>
      <c r="AI50" s="1">
        <v>5.4168790000000003E-3</v>
      </c>
      <c r="AJ50" s="1">
        <v>0.8978872</v>
      </c>
      <c r="AK50" s="1">
        <v>5.1587310000000001E-6</v>
      </c>
      <c r="AL50" s="1">
        <v>7.2600409999999996E-4</v>
      </c>
      <c r="AM50" s="1">
        <v>6.1798880000000001E-5</v>
      </c>
      <c r="AN50" s="1">
        <v>2.266178E-4</v>
      </c>
      <c r="AO50" s="1">
        <v>4.6775440000000002E-13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83384350000</v>
      </c>
      <c r="BF50" s="1">
        <v>1219298000000000</v>
      </c>
      <c r="BG50" s="1">
        <v>10.575279999999999</v>
      </c>
      <c r="BH50" s="1">
        <v>0</v>
      </c>
      <c r="BI50" s="1">
        <v>5.9437670000000003E-9</v>
      </c>
      <c r="BJ50" s="1">
        <v>0</v>
      </c>
      <c r="BK50" s="1">
        <v>0.49086629999999998</v>
      </c>
      <c r="BL50" s="1">
        <v>175.9709</v>
      </c>
      <c r="BM50" s="1">
        <v>1466482</v>
      </c>
      <c r="BN50" s="1">
        <v>16648.14</v>
      </c>
      <c r="BO50" s="1">
        <v>2.7457229999999998E-3</v>
      </c>
      <c r="BP50" s="1">
        <v>1.9603240000000001E-7</v>
      </c>
      <c r="BQ50" s="1">
        <v>9.6695100000000006E-2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9.2243550000000003E-21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0.28650759999999997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N50" s="1">
        <f t="shared" si="0"/>
        <v>1235363001705225.5</v>
      </c>
      <c r="DP50" s="1">
        <f t="shared" si="1"/>
        <v>3.6807958419698609E-4</v>
      </c>
      <c r="DQ50" s="1">
        <f t="shared" si="2"/>
        <v>0.98699572378074274</v>
      </c>
      <c r="DR50" s="1">
        <f t="shared" si="3"/>
        <v>1.686493765091028E-7</v>
      </c>
      <c r="DS50" s="1">
        <f t="shared" si="4"/>
        <v>2.8348444911867614E-3</v>
      </c>
      <c r="DT50" s="1">
        <f t="shared" si="5"/>
        <v>6.749785276465374E-5</v>
      </c>
      <c r="DU50" s="1">
        <f t="shared" si="6"/>
        <v>9.7336815036567215E-3</v>
      </c>
    </row>
    <row r="51" spans="1:125" x14ac:dyDescent="0.2">
      <c r="A51">
        <v>13951.766283999999</v>
      </c>
      <c r="B51">
        <v>13807.933642</v>
      </c>
      <c r="C51">
        <v>14095.598926000001</v>
      </c>
      <c r="D51">
        <v>869.386796</v>
      </c>
      <c r="E51" s="1">
        <v>11.44833</v>
      </c>
      <c r="F51" s="1">
        <v>2926.07</v>
      </c>
      <c r="G51" s="1">
        <v>5.2108319999999998E-17</v>
      </c>
      <c r="H51" s="1">
        <v>497471600000</v>
      </c>
      <c r="I51" s="1">
        <v>3564388</v>
      </c>
      <c r="J51" s="1">
        <v>1.125691E-5</v>
      </c>
      <c r="K51" s="1">
        <v>2.263302E-3</v>
      </c>
      <c r="L51" s="1">
        <v>7944652000000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144.69329999999999</v>
      </c>
      <c r="Y51" s="1">
        <v>2311462000000</v>
      </c>
      <c r="Z51" s="1">
        <v>136774500</v>
      </c>
      <c r="AA51" s="1">
        <v>382.36509999999998</v>
      </c>
      <c r="AB51" s="1">
        <v>5.4955079999999997E-8</v>
      </c>
      <c r="AC51" s="1">
        <v>0.30750060000000001</v>
      </c>
      <c r="AD51" s="1">
        <v>4.0907749999999997E-18</v>
      </c>
      <c r="AE51" s="1">
        <v>7.388608E-13</v>
      </c>
      <c r="AF51" s="1">
        <v>1389.9849999999999</v>
      </c>
      <c r="AG51" s="1">
        <v>6.8764420000000002E-4</v>
      </c>
      <c r="AH51" s="1">
        <v>9.2582909999999998</v>
      </c>
      <c r="AI51" s="1">
        <v>6.1360369999999996E-3</v>
      </c>
      <c r="AJ51" s="1">
        <v>0.75157470000000004</v>
      </c>
      <c r="AK51" s="1">
        <v>4.9431220000000003E-6</v>
      </c>
      <c r="AL51" s="1">
        <v>6.0325769999999997E-4</v>
      </c>
      <c r="AM51" s="1">
        <v>4.7429689999999997E-5</v>
      </c>
      <c r="AN51" s="1">
        <v>2.9085269999999999E-4</v>
      </c>
      <c r="AO51" s="1">
        <v>7.2604630000000001E-13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58422840000</v>
      </c>
      <c r="BF51" s="1">
        <v>805828400000000</v>
      </c>
      <c r="BG51" s="1">
        <v>17.589359999999999</v>
      </c>
      <c r="BH51" s="1">
        <v>0</v>
      </c>
      <c r="BI51" s="1">
        <v>7.1464659999999996E-9</v>
      </c>
      <c r="BJ51" s="1">
        <v>0</v>
      </c>
      <c r="BK51" s="1">
        <v>1.411681</v>
      </c>
      <c r="BL51" s="1">
        <v>300.57420000000002</v>
      </c>
      <c r="BM51" s="1">
        <v>1578880</v>
      </c>
      <c r="BN51" s="1">
        <v>13349.18</v>
      </c>
      <c r="BO51" s="1">
        <v>4.3349649999999997E-3</v>
      </c>
      <c r="BP51" s="1">
        <v>1.2091580000000001E-7</v>
      </c>
      <c r="BQ51" s="1">
        <v>0.1294834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1.2681879999999999E-20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0.45824959999999998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N51" s="1">
        <f t="shared" si="0"/>
        <v>816640550376290.88</v>
      </c>
      <c r="DP51" s="1">
        <f t="shared" si="1"/>
        <v>6.0916837863460923E-4</v>
      </c>
      <c r="DQ51" s="1">
        <f t="shared" si="2"/>
        <v>0.98676020879527859</v>
      </c>
      <c r="DR51" s="1">
        <f t="shared" si="3"/>
        <v>1.6748433559535732E-7</v>
      </c>
      <c r="DS51" s="1">
        <f t="shared" si="4"/>
        <v>2.8304521480532981E-3</v>
      </c>
      <c r="DT51" s="1">
        <f t="shared" si="5"/>
        <v>7.1540459230294128E-5</v>
      </c>
      <c r="DU51" s="1">
        <f t="shared" si="6"/>
        <v>9.7284564137052349E-3</v>
      </c>
    </row>
    <row r="52" spans="1:125" x14ac:dyDescent="0.2">
      <c r="A52">
        <v>14239.431568</v>
      </c>
      <c r="B52">
        <v>14095.598926000001</v>
      </c>
      <c r="C52">
        <v>14383.264209999999</v>
      </c>
      <c r="D52">
        <v>860.40379700000005</v>
      </c>
      <c r="E52" s="1">
        <v>7.4390590000000003</v>
      </c>
      <c r="F52" s="1">
        <v>4602</v>
      </c>
      <c r="G52" s="1">
        <v>8.4186940000000002E-17</v>
      </c>
      <c r="H52" s="1">
        <v>526232300000</v>
      </c>
      <c r="I52" s="1">
        <v>3440471</v>
      </c>
      <c r="J52" s="1">
        <v>7.680049E-6</v>
      </c>
      <c r="K52" s="1">
        <v>1.3566279999999999E-3</v>
      </c>
      <c r="L52" s="1">
        <v>5214245000000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720.37199999999996</v>
      </c>
      <c r="Y52" s="1">
        <v>1515615000000</v>
      </c>
      <c r="Z52" s="1">
        <v>88889280</v>
      </c>
      <c r="AA52" s="1">
        <v>166.32749999999999</v>
      </c>
      <c r="AB52" s="1">
        <v>5.8779010000000003E-8</v>
      </c>
      <c r="AC52" s="1">
        <v>0.25904270000000001</v>
      </c>
      <c r="AD52" s="1">
        <v>6.0824749999999997E-18</v>
      </c>
      <c r="AE52" s="1">
        <v>1.224708E-12</v>
      </c>
      <c r="AF52" s="1">
        <v>1151.8119999999999</v>
      </c>
      <c r="AG52" s="1">
        <v>5.0323830000000003E-4</v>
      </c>
      <c r="AH52" s="1">
        <v>7.2682209999999996</v>
      </c>
      <c r="AI52" s="1">
        <v>6.3200039999999997E-3</v>
      </c>
      <c r="AJ52" s="1">
        <v>0.58707189999999998</v>
      </c>
      <c r="AK52" s="1">
        <v>5.0688679999999998E-6</v>
      </c>
      <c r="AL52" s="1">
        <v>4.7165999999999999E-4</v>
      </c>
      <c r="AM52" s="1">
        <v>3.498241E-5</v>
      </c>
      <c r="AN52" s="1">
        <v>3.2311299999999998E-4</v>
      </c>
      <c r="AO52" s="1">
        <v>9.3461990000000005E-13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40400840000</v>
      </c>
      <c r="BF52" s="1">
        <v>528991900000000</v>
      </c>
      <c r="BG52" s="1">
        <v>27.88775</v>
      </c>
      <c r="BH52" s="1">
        <v>0</v>
      </c>
      <c r="BI52" s="1">
        <v>8.5544570000000001E-9</v>
      </c>
      <c r="BJ52" s="1">
        <v>0</v>
      </c>
      <c r="BK52" s="1">
        <v>3.7115119999999999</v>
      </c>
      <c r="BL52" s="1">
        <v>483.32749999999999</v>
      </c>
      <c r="BM52" s="1">
        <v>1640182</v>
      </c>
      <c r="BN52" s="1">
        <v>10137.5</v>
      </c>
      <c r="BO52" s="1">
        <v>6.5990040000000003E-3</v>
      </c>
      <c r="BP52" s="1">
        <v>1.163831E-7</v>
      </c>
      <c r="BQ52" s="1">
        <v>0.16393730000000001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1.5612789999999999E-20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0.69831529999999997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N52" s="1">
        <f t="shared" si="0"/>
        <v>536288487127234.88</v>
      </c>
      <c r="DP52" s="1">
        <f t="shared" si="1"/>
        <v>9.812485493002033E-4</v>
      </c>
      <c r="DQ52" s="1">
        <f t="shared" si="2"/>
        <v>0.98639428721224109</v>
      </c>
      <c r="DR52" s="1">
        <f t="shared" si="3"/>
        <v>1.6574899915558125E-7</v>
      </c>
      <c r="DS52" s="1">
        <f t="shared" si="4"/>
        <v>2.8261188453229261E-3</v>
      </c>
      <c r="DT52" s="1">
        <f t="shared" si="5"/>
        <v>7.5334154973971814E-5</v>
      </c>
      <c r="DU52" s="1">
        <f t="shared" si="6"/>
        <v>9.7228359831691043E-3</v>
      </c>
    </row>
    <row r="53" spans="1:125" x14ac:dyDescent="0.2">
      <c r="A53">
        <v>14527.096852000001</v>
      </c>
      <c r="B53">
        <v>14383.264209999999</v>
      </c>
      <c r="C53">
        <v>14670.929494</v>
      </c>
      <c r="D53">
        <v>852.45917999999995</v>
      </c>
      <c r="E53" s="1">
        <v>4.8134059999999996</v>
      </c>
      <c r="F53" s="1">
        <v>6900.1679999999997</v>
      </c>
      <c r="G53" s="1">
        <v>1.2564260000000001E-16</v>
      </c>
      <c r="H53" s="1">
        <v>539698700000</v>
      </c>
      <c r="I53" s="1">
        <v>3251086</v>
      </c>
      <c r="J53" s="1">
        <v>5.4486580000000001E-6</v>
      </c>
      <c r="K53" s="1">
        <v>7.9561870000000002E-4</v>
      </c>
      <c r="L53" s="1">
        <v>3404041000000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3144.9189999999999</v>
      </c>
      <c r="Y53" s="1">
        <v>988558200000</v>
      </c>
      <c r="Z53" s="1">
        <v>57184150</v>
      </c>
      <c r="AA53" s="1">
        <v>71.835539999999995</v>
      </c>
      <c r="AB53" s="1">
        <v>5.9714369999999993E-8</v>
      </c>
      <c r="AC53" s="1">
        <v>0.27077709999999999</v>
      </c>
      <c r="AD53" s="1">
        <v>8.6087260000000007E-18</v>
      </c>
      <c r="AE53" s="1">
        <v>1.925543E-12</v>
      </c>
      <c r="AF53" s="1">
        <v>933.43430000000001</v>
      </c>
      <c r="AG53" s="1">
        <v>3.703984E-4</v>
      </c>
      <c r="AH53" s="1">
        <v>5.7870179999999998</v>
      </c>
      <c r="AI53" s="1">
        <v>6.2652130000000004E-3</v>
      </c>
      <c r="AJ53" s="1">
        <v>0.43145099999999997</v>
      </c>
      <c r="AK53" s="1">
        <v>5.5013379999999999E-6</v>
      </c>
      <c r="AL53" s="1">
        <v>3.50389E-4</v>
      </c>
      <c r="AM53" s="1">
        <v>2.5231959999999999E-5</v>
      </c>
      <c r="AN53" s="1">
        <v>3.2035180000000003E-4</v>
      </c>
      <c r="AO53" s="1">
        <v>1.0333060000000001E-12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27637610000</v>
      </c>
      <c r="BF53" s="1">
        <v>345374700000000</v>
      </c>
      <c r="BG53" s="1">
        <v>42.155009999999997</v>
      </c>
      <c r="BH53" s="1">
        <v>0</v>
      </c>
      <c r="BI53" s="1">
        <v>1.0026620000000001E-8</v>
      </c>
      <c r="BJ53" s="1">
        <v>0</v>
      </c>
      <c r="BK53" s="1">
        <v>8.9327679999999994</v>
      </c>
      <c r="BL53" s="1">
        <v>730.89419999999996</v>
      </c>
      <c r="BM53" s="1">
        <v>1645483</v>
      </c>
      <c r="BN53" s="1">
        <v>7359.7569999999996</v>
      </c>
      <c r="BO53" s="1">
        <v>9.5679990000000006E-3</v>
      </c>
      <c r="BP53" s="1">
        <v>1.207168E-7</v>
      </c>
      <c r="BQ53" s="1">
        <v>0.1977062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1.738793E-20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1.0105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N53" s="1">
        <f t="shared" si="0"/>
        <v>350334697609918.75</v>
      </c>
      <c r="DP53" s="1">
        <f t="shared" si="1"/>
        <v>1.5405231159858713E-3</v>
      </c>
      <c r="DQ53" s="1">
        <f t="shared" si="2"/>
        <v>0.98584211714181547</v>
      </c>
      <c r="DR53" s="1">
        <f t="shared" si="3"/>
        <v>1.6322719499417631E-7</v>
      </c>
      <c r="DS53" s="1">
        <f t="shared" si="4"/>
        <v>2.821753616596416E-3</v>
      </c>
      <c r="DT53" s="1">
        <f t="shared" si="5"/>
        <v>7.888915996203488E-5</v>
      </c>
      <c r="DU53" s="1">
        <f t="shared" si="6"/>
        <v>9.7165397068098569E-3</v>
      </c>
    </row>
    <row r="54" spans="1:125" x14ac:dyDescent="0.2">
      <c r="A54">
        <v>14814.762135999999</v>
      </c>
      <c r="B54">
        <v>14670.929494</v>
      </c>
      <c r="C54">
        <v>14958.594778000001</v>
      </c>
      <c r="D54">
        <v>845.202631</v>
      </c>
      <c r="E54" s="1">
        <v>3.1024910000000001</v>
      </c>
      <c r="F54" s="1">
        <v>9909.9480000000003</v>
      </c>
      <c r="G54" s="1">
        <v>1.750277E-16</v>
      </c>
      <c r="H54" s="1">
        <v>538785000000</v>
      </c>
      <c r="I54" s="1">
        <v>3010870</v>
      </c>
      <c r="J54" s="1">
        <v>4.0190900000000003E-6</v>
      </c>
      <c r="K54" s="1">
        <v>4.5688219999999999E-4</v>
      </c>
      <c r="L54" s="1">
        <v>2212152000000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12209.49</v>
      </c>
      <c r="Y54" s="1">
        <v>641882200000</v>
      </c>
      <c r="Z54" s="1">
        <v>36371410</v>
      </c>
      <c r="AA54" s="1">
        <v>31.126429999999999</v>
      </c>
      <c r="AB54" s="1">
        <v>5.6323469999999998E-8</v>
      </c>
      <c r="AC54" s="1">
        <v>0.32244450000000002</v>
      </c>
      <c r="AD54" s="1">
        <v>1.156839E-17</v>
      </c>
      <c r="AE54" s="1">
        <v>2.9017989999999998E-12</v>
      </c>
      <c r="AF54" s="1">
        <v>744.99969999999996</v>
      </c>
      <c r="AG54" s="1">
        <v>2.8685439999999999E-4</v>
      </c>
      <c r="AH54" s="1">
        <v>4.8677890000000001</v>
      </c>
      <c r="AI54" s="1">
        <v>6.2984419999999996E-3</v>
      </c>
      <c r="AJ54" s="1">
        <v>0.29985719999999999</v>
      </c>
      <c r="AK54" s="1">
        <v>6.1830879999999998E-6</v>
      </c>
      <c r="AL54" s="1">
        <v>2.4950690000000001E-4</v>
      </c>
      <c r="AM54" s="1">
        <v>1.820486E-5</v>
      </c>
      <c r="AN54" s="1">
        <v>2.8964399999999998E-4</v>
      </c>
      <c r="AO54" s="1">
        <v>1.0087779999999999E-12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18732670000</v>
      </c>
      <c r="BF54" s="1">
        <v>224430000000000</v>
      </c>
      <c r="BG54" s="1">
        <v>61.075749999999999</v>
      </c>
      <c r="BH54" s="1">
        <v>0</v>
      </c>
      <c r="BI54" s="1">
        <v>1.1452919999999999E-8</v>
      </c>
      <c r="BJ54" s="1">
        <v>0</v>
      </c>
      <c r="BK54" s="1">
        <v>19.793939999999999</v>
      </c>
      <c r="BL54" s="1">
        <v>1041.3889999999999</v>
      </c>
      <c r="BM54" s="1">
        <v>1597065</v>
      </c>
      <c r="BN54" s="1">
        <v>5148.3130000000001</v>
      </c>
      <c r="BO54" s="1">
        <v>1.316495E-2</v>
      </c>
      <c r="BP54" s="1">
        <v>1.21127E-7</v>
      </c>
      <c r="BQ54" s="1">
        <v>0.2286301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1.7739240000000001E-20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1.3907240000000001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N54" s="1">
        <f t="shared" si="0"/>
        <v>227841592878518.22</v>
      </c>
      <c r="DP54" s="1">
        <f t="shared" si="1"/>
        <v>2.3647350476840821E-3</v>
      </c>
      <c r="DQ54" s="1">
        <f t="shared" si="2"/>
        <v>0.98502647020933864</v>
      </c>
      <c r="DR54" s="1">
        <f t="shared" si="3"/>
        <v>1.5963463711997792E-7</v>
      </c>
      <c r="DS54" s="1">
        <f t="shared" si="4"/>
        <v>2.8172301285755235E-3</v>
      </c>
      <c r="DT54" s="1">
        <f t="shared" si="5"/>
        <v>8.2217955744313921E-5</v>
      </c>
      <c r="DU54" s="1">
        <f t="shared" si="6"/>
        <v>9.7091666716861789E-3</v>
      </c>
    </row>
    <row r="55" spans="1:125" x14ac:dyDescent="0.2">
      <c r="A55">
        <v>15102.427421</v>
      </c>
      <c r="B55">
        <v>14958.594778000001</v>
      </c>
      <c r="C55">
        <v>15246.260063</v>
      </c>
      <c r="D55">
        <v>838.73004900000001</v>
      </c>
      <c r="E55" s="1">
        <v>1.9925930000000001</v>
      </c>
      <c r="F55" s="1">
        <v>13770.99</v>
      </c>
      <c r="G55" s="1">
        <v>2.3157860000000001E-16</v>
      </c>
      <c r="H55" s="1">
        <v>525778200000</v>
      </c>
      <c r="I55" s="1">
        <v>2749684</v>
      </c>
      <c r="J55" s="1">
        <v>3.0773589999999999E-6</v>
      </c>
      <c r="K55" s="1">
        <v>2.589844E-4</v>
      </c>
      <c r="L55" s="1">
        <v>1431268000000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42585.18</v>
      </c>
      <c r="Y55" s="1">
        <v>414971700000</v>
      </c>
      <c r="Z55" s="1">
        <v>22801980</v>
      </c>
      <c r="AA55" s="1">
        <v>13.85519</v>
      </c>
      <c r="AB55" s="1">
        <v>4.9605210000000001E-8</v>
      </c>
      <c r="AC55" s="1">
        <v>0.4006709</v>
      </c>
      <c r="AD55" s="1">
        <v>1.481726E-17</v>
      </c>
      <c r="AE55" s="1">
        <v>4.4919259999999999E-12</v>
      </c>
      <c r="AF55" s="1">
        <v>587.04549999999995</v>
      </c>
      <c r="AG55" s="1">
        <v>2.400185E-4</v>
      </c>
      <c r="AH55" s="1">
        <v>4.4141110000000001</v>
      </c>
      <c r="AI55" s="1">
        <v>6.5598790000000002E-3</v>
      </c>
      <c r="AJ55" s="1">
        <v>0.1965402</v>
      </c>
      <c r="AK55" s="1">
        <v>7.0034410000000002E-6</v>
      </c>
      <c r="AL55" s="1">
        <v>1.7074909999999999E-4</v>
      </c>
      <c r="AM55" s="1">
        <v>1.339876E-5</v>
      </c>
      <c r="AN55" s="1">
        <v>2.386105E-4</v>
      </c>
      <c r="AO55" s="1">
        <v>8.7103830000000002E-13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12586430000</v>
      </c>
      <c r="BF55" s="1">
        <v>145165700000000</v>
      </c>
      <c r="BG55" s="1">
        <v>85.708839999999995</v>
      </c>
      <c r="BH55" s="1">
        <v>0</v>
      </c>
      <c r="BI55" s="1">
        <v>1.293173E-8</v>
      </c>
      <c r="BJ55" s="1">
        <v>0</v>
      </c>
      <c r="BK55" s="1">
        <v>40.681199999999997</v>
      </c>
      <c r="BL55" s="1">
        <v>1402.75</v>
      </c>
      <c r="BM55" s="1">
        <v>1501387</v>
      </c>
      <c r="BN55" s="1">
        <v>3480.453</v>
      </c>
      <c r="BO55" s="1">
        <v>1.7221480000000001E-2</v>
      </c>
      <c r="BP55" s="1">
        <v>1.152772E-7</v>
      </c>
      <c r="BQ55" s="1">
        <v>0.25468420000000003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1.6749679999999999E-20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1.8322020000000001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N55" s="1">
        <f t="shared" si="0"/>
        <v>147550331445024.81</v>
      </c>
      <c r="DP55" s="1">
        <f t="shared" si="1"/>
        <v>3.5633820327668842E-3</v>
      </c>
      <c r="DQ55" s="1">
        <f t="shared" si="2"/>
        <v>0.98383852193572818</v>
      </c>
      <c r="DR55" s="1">
        <f t="shared" si="3"/>
        <v>1.5453696224664665E-7</v>
      </c>
      <c r="DS55" s="1">
        <f t="shared" si="4"/>
        <v>2.8124077793387583E-3</v>
      </c>
      <c r="DT55" s="1">
        <f t="shared" si="5"/>
        <v>8.5302620988618564E-5</v>
      </c>
      <c r="DU55" s="1">
        <f t="shared" si="6"/>
        <v>9.7002018632080834E-3</v>
      </c>
    </row>
    <row r="56" spans="1:125" x14ac:dyDescent="0.2">
      <c r="A56">
        <v>15390.092704999999</v>
      </c>
      <c r="B56">
        <v>15246.260063</v>
      </c>
      <c r="C56">
        <v>15533.925347</v>
      </c>
      <c r="D56">
        <v>833.43310599999995</v>
      </c>
      <c r="E56" s="1">
        <v>1.2757700000000001</v>
      </c>
      <c r="F56" s="1">
        <v>18764.169999999998</v>
      </c>
      <c r="G56" s="1">
        <v>2.9747079999999998E-16</v>
      </c>
      <c r="H56" s="1">
        <v>503623500000</v>
      </c>
      <c r="I56" s="1">
        <v>2500326</v>
      </c>
      <c r="J56" s="1">
        <v>2.438431E-6</v>
      </c>
      <c r="K56" s="1">
        <v>1.4691819999999999E-4</v>
      </c>
      <c r="L56" s="1">
        <v>921929000000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133774.39999999999</v>
      </c>
      <c r="Y56" s="1">
        <v>267104300000</v>
      </c>
      <c r="Z56" s="1">
        <v>13989320</v>
      </c>
      <c r="AA56" s="1">
        <v>6.6950589999999996</v>
      </c>
      <c r="AB56" s="1">
        <v>4.114084E-8</v>
      </c>
      <c r="AC56" s="1">
        <v>0.4928708</v>
      </c>
      <c r="AD56" s="1">
        <v>1.8179670000000001E-17</v>
      </c>
      <c r="AE56" s="1">
        <v>9.3995359999999999E-12</v>
      </c>
      <c r="AF56" s="1">
        <v>455.40159999999997</v>
      </c>
      <c r="AG56" s="1">
        <v>2.162721E-4</v>
      </c>
      <c r="AH56" s="1">
        <v>4.2652840000000003</v>
      </c>
      <c r="AI56" s="1">
        <v>6.9507880000000003E-3</v>
      </c>
      <c r="AJ56" s="1">
        <v>0.1197589</v>
      </c>
      <c r="AK56" s="1">
        <v>7.7601840000000002E-6</v>
      </c>
      <c r="AL56" s="1">
        <v>1.117455E-4</v>
      </c>
      <c r="AM56" s="1">
        <v>1.0061389999999999E-5</v>
      </c>
      <c r="AN56" s="1">
        <v>1.75513E-4</v>
      </c>
      <c r="AO56" s="1">
        <v>6.5138919999999996E-13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8382564000</v>
      </c>
      <c r="BF56" s="1">
        <v>93451770000000</v>
      </c>
      <c r="BG56" s="1">
        <v>118.08880000000001</v>
      </c>
      <c r="BH56" s="1">
        <v>0</v>
      </c>
      <c r="BI56" s="1">
        <v>1.4832599999999999E-8</v>
      </c>
      <c r="BJ56" s="1">
        <v>0</v>
      </c>
      <c r="BK56" s="1">
        <v>77.910210000000006</v>
      </c>
      <c r="BL56" s="1">
        <v>1788.1130000000001</v>
      </c>
      <c r="BM56" s="1">
        <v>1363691</v>
      </c>
      <c r="BN56" s="1">
        <v>2272.6680000000001</v>
      </c>
      <c r="BO56" s="1">
        <v>2.145737E-2</v>
      </c>
      <c r="BP56" s="1">
        <v>1.0321729999999999E-7</v>
      </c>
      <c r="BQ56" s="1">
        <v>0.27339449999999998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1.471251E-20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2.3252380000000001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N56" s="1">
        <f t="shared" si="0"/>
        <v>95152827374601.938</v>
      </c>
      <c r="DP56" s="1">
        <f t="shared" si="1"/>
        <v>5.2927854473237279E-3</v>
      </c>
      <c r="DQ56" s="1">
        <f t="shared" si="2"/>
        <v>0.98212289196720204</v>
      </c>
      <c r="DR56" s="1">
        <f t="shared" si="3"/>
        <v>1.4701948839550732E-7</v>
      </c>
      <c r="DS56" s="1">
        <f t="shared" si="4"/>
        <v>2.8071083894170771E-3</v>
      </c>
      <c r="DT56" s="1">
        <f t="shared" si="5"/>
        <v>8.8095795272579184E-5</v>
      </c>
      <c r="DU56" s="1">
        <f t="shared" si="6"/>
        <v>9.6889291199988032E-3</v>
      </c>
    </row>
    <row r="57" spans="1:125" x14ac:dyDescent="0.2">
      <c r="A57">
        <v>15677.757989</v>
      </c>
      <c r="B57">
        <v>15533.925347</v>
      </c>
      <c r="C57">
        <v>15821.590630999999</v>
      </c>
      <c r="D57">
        <v>829.58871699999997</v>
      </c>
      <c r="E57" s="1">
        <v>0.81481590000000004</v>
      </c>
      <c r="F57" s="1">
        <v>25379.8</v>
      </c>
      <c r="G57" s="1">
        <v>3.7867879999999999E-16</v>
      </c>
      <c r="H57" s="1">
        <v>475443600000</v>
      </c>
      <c r="I57" s="1">
        <v>2283794</v>
      </c>
      <c r="J57" s="1">
        <v>1.9908410000000001E-6</v>
      </c>
      <c r="K57" s="1">
        <v>8.4477759999999997E-5</v>
      </c>
      <c r="L57" s="1">
        <v>591394500000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373638.1</v>
      </c>
      <c r="Y57" s="1">
        <v>171230500000</v>
      </c>
      <c r="Z57" s="1">
        <v>8227305</v>
      </c>
      <c r="AA57" s="1">
        <v>3.8404430000000001</v>
      </c>
      <c r="AB57" s="1">
        <v>3.1991389999999997E-8</v>
      </c>
      <c r="AC57" s="1">
        <v>0.57725380000000004</v>
      </c>
      <c r="AD57" s="1">
        <v>2.1145660000000001E-17</v>
      </c>
      <c r="AE57" s="1">
        <v>3.599052E-11</v>
      </c>
      <c r="AF57" s="1">
        <v>344.65629999999999</v>
      </c>
      <c r="AG57" s="1">
        <v>1.992121E-4</v>
      </c>
      <c r="AH57" s="1">
        <v>4.1445379999999998</v>
      </c>
      <c r="AI57" s="1">
        <v>7.0423830000000001E-3</v>
      </c>
      <c r="AJ57" s="1">
        <v>6.5149579999999999E-2</v>
      </c>
      <c r="AK57" s="1">
        <v>8.10215E-6</v>
      </c>
      <c r="AL57" s="1">
        <v>6.8732799999999994E-5</v>
      </c>
      <c r="AM57" s="1">
        <v>7.4440539999999996E-6</v>
      </c>
      <c r="AN57" s="1">
        <v>1.1203189999999999E-4</v>
      </c>
      <c r="AO57" s="1">
        <v>4.1026579999999998E-13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5534489000</v>
      </c>
      <c r="BF57" s="1">
        <v>59886840000000</v>
      </c>
      <c r="BG57" s="1">
        <v>161.78970000000001</v>
      </c>
      <c r="BH57" s="1">
        <v>0</v>
      </c>
      <c r="BI57" s="1">
        <v>1.7681570000000001E-8</v>
      </c>
      <c r="BJ57" s="1">
        <v>0</v>
      </c>
      <c r="BK57" s="1">
        <v>137.55369999999999</v>
      </c>
      <c r="BL57" s="1">
        <v>2127.0729999999999</v>
      </c>
      <c r="BM57" s="1">
        <v>1177213</v>
      </c>
      <c r="BN57" s="1">
        <v>1434.62</v>
      </c>
      <c r="BO57" s="1">
        <v>2.5130039999999999E-2</v>
      </c>
      <c r="BP57" s="1">
        <v>8.5410619999999994E-8</v>
      </c>
      <c r="BQ57" s="1">
        <v>0.28076699999999999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1.1931810000000001E-20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2.8169059999999999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N57" s="1">
        <f t="shared" si="0"/>
        <v>61130455180547.344</v>
      </c>
      <c r="DP57" s="1">
        <f t="shared" si="1"/>
        <v>7.7775242895834597E-3</v>
      </c>
      <c r="DQ57" s="1">
        <f t="shared" si="2"/>
        <v>0.97965637296705288</v>
      </c>
      <c r="DR57" s="1">
        <f t="shared" si="3"/>
        <v>1.3458602550399553E-7</v>
      </c>
      <c r="DS57" s="1">
        <f t="shared" si="4"/>
        <v>2.8010669885292819E-3</v>
      </c>
      <c r="DT57" s="1">
        <f t="shared" si="5"/>
        <v>9.053570734348401E-5</v>
      </c>
      <c r="DU57" s="1">
        <f t="shared" si="6"/>
        <v>9.674302248418247E-3</v>
      </c>
    </row>
    <row r="58" spans="1:125" x14ac:dyDescent="0.2">
      <c r="A58">
        <v>15965.423273</v>
      </c>
      <c r="B58">
        <v>15821.590630999999</v>
      </c>
      <c r="C58">
        <v>16109.255915</v>
      </c>
      <c r="D58">
        <v>827.72514699999999</v>
      </c>
      <c r="E58" s="1">
        <v>0.51959029999999995</v>
      </c>
      <c r="F58" s="1">
        <v>34539.78</v>
      </c>
      <c r="G58" s="1">
        <v>4.88606E-16</v>
      </c>
      <c r="H58" s="1">
        <v>443845900000</v>
      </c>
      <c r="I58" s="1">
        <v>2118608</v>
      </c>
      <c r="J58" s="1">
        <v>1.6742800000000001E-6</v>
      </c>
      <c r="K58" s="1">
        <v>5.0071889999999997E-5</v>
      </c>
      <c r="L58" s="1">
        <v>377883200000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866806.3</v>
      </c>
      <c r="Y58" s="1">
        <v>109351500000</v>
      </c>
      <c r="Z58" s="1">
        <v>4358410</v>
      </c>
      <c r="AA58" s="1">
        <v>2.685422</v>
      </c>
      <c r="AB58" s="1">
        <v>2.2272889999999998E-8</v>
      </c>
      <c r="AC58" s="1">
        <v>0.59903079999999997</v>
      </c>
      <c r="AD58" s="1">
        <v>2.205484E-17</v>
      </c>
      <c r="AE58" s="1">
        <v>1.6129240000000001E-10</v>
      </c>
      <c r="AF58" s="1">
        <v>250.34360000000001</v>
      </c>
      <c r="AG58" s="1">
        <v>1.6498049999999999E-4</v>
      </c>
      <c r="AH58" s="1">
        <v>3.5308269999999999</v>
      </c>
      <c r="AI58" s="1">
        <v>5.880611E-3</v>
      </c>
      <c r="AJ58" s="1">
        <v>2.7857699999999999E-2</v>
      </c>
      <c r="AK58" s="1">
        <v>7.4317609999999997E-6</v>
      </c>
      <c r="AL58" s="1">
        <v>3.7040689999999999E-5</v>
      </c>
      <c r="AM58" s="1">
        <v>4.9167029999999997E-6</v>
      </c>
      <c r="AN58" s="1">
        <v>5.7027220000000003E-5</v>
      </c>
      <c r="AO58" s="1">
        <v>1.994448E-13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3621572000</v>
      </c>
      <c r="BF58" s="1">
        <v>38204550000000</v>
      </c>
      <c r="BG58" s="1">
        <v>223.4914</v>
      </c>
      <c r="BH58" s="1">
        <v>0</v>
      </c>
      <c r="BI58" s="1">
        <v>2.2627840000000001E-8</v>
      </c>
      <c r="BJ58" s="1">
        <v>0</v>
      </c>
      <c r="BK58" s="1">
        <v>210.9753</v>
      </c>
      <c r="BL58" s="1">
        <v>2222.5839999999998</v>
      </c>
      <c r="BM58" s="1">
        <v>910967.4</v>
      </c>
      <c r="BN58" s="1">
        <v>873.07849999999996</v>
      </c>
      <c r="BO58" s="1">
        <v>2.6067900000000001E-2</v>
      </c>
      <c r="BP58" s="1">
        <v>6.2518430000000002E-8</v>
      </c>
      <c r="BQ58" s="1">
        <v>0.27205240000000003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8.4797260000000003E-21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3.1007410000000002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N58" s="1">
        <f t="shared" si="0"/>
        <v>39139260465122.203</v>
      </c>
      <c r="DP58" s="1">
        <f t="shared" si="1"/>
        <v>1.1340170834232296E-2</v>
      </c>
      <c r="DQ58" s="1">
        <f t="shared" si="2"/>
        <v>0.97611834117419916</v>
      </c>
      <c r="DR58" s="1">
        <f t="shared" si="3"/>
        <v>1.1135647296871816E-7</v>
      </c>
      <c r="DS58" s="1">
        <f t="shared" si="4"/>
        <v>2.7939081806986456E-3</v>
      </c>
      <c r="DT58" s="1">
        <f t="shared" si="5"/>
        <v>9.2530414651734589E-5</v>
      </c>
      <c r="DU58" s="1">
        <f t="shared" si="6"/>
        <v>9.6548375086631857E-3</v>
      </c>
    </row>
    <row r="59" spans="1:125" x14ac:dyDescent="0.2">
      <c r="A59">
        <v>16253.088556999999</v>
      </c>
      <c r="B59">
        <v>16109.255915</v>
      </c>
      <c r="C59">
        <v>16396.921199</v>
      </c>
      <c r="D59">
        <v>829.04970100000003</v>
      </c>
      <c r="E59" s="1">
        <v>0.33126840000000002</v>
      </c>
      <c r="F59" s="1">
        <v>48198.239999999998</v>
      </c>
      <c r="G59" s="1">
        <v>6.592747E-16</v>
      </c>
      <c r="H59" s="1">
        <v>410866000000</v>
      </c>
      <c r="I59" s="1">
        <v>2031306</v>
      </c>
      <c r="J59" s="1">
        <v>1.461697E-6</v>
      </c>
      <c r="K59" s="1">
        <v>3.1448839999999999E-5</v>
      </c>
      <c r="L59" s="1">
        <v>240494900000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1445155</v>
      </c>
      <c r="Y59" s="1">
        <v>69565000000</v>
      </c>
      <c r="Z59" s="1">
        <v>1834706</v>
      </c>
      <c r="AA59" s="1">
        <v>1.946704</v>
      </c>
      <c r="AB59" s="1">
        <v>1.247886E-8</v>
      </c>
      <c r="AC59" s="1">
        <v>0.4823384</v>
      </c>
      <c r="AD59" s="1">
        <v>1.8332849999999999E-17</v>
      </c>
      <c r="AE59" s="1">
        <v>4.3568660000000002E-10</v>
      </c>
      <c r="AF59" s="1">
        <v>171.39109999999999</v>
      </c>
      <c r="AG59" s="1">
        <v>9.8304129999999995E-5</v>
      </c>
      <c r="AH59" s="1">
        <v>2.0734870000000001</v>
      </c>
      <c r="AI59" s="1">
        <v>3.0894189999999999E-3</v>
      </c>
      <c r="AJ59" s="1">
        <v>7.201023E-3</v>
      </c>
      <c r="AK59" s="1">
        <v>5.3716170000000002E-6</v>
      </c>
      <c r="AL59" s="1">
        <v>1.5098950000000001E-5</v>
      </c>
      <c r="AM59" s="1">
        <v>2.4546900000000001E-6</v>
      </c>
      <c r="AN59" s="1">
        <v>1.9265759999999998E-5</v>
      </c>
      <c r="AO59" s="1">
        <v>6.1635209999999994E-14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2346745000</v>
      </c>
      <c r="BF59" s="1">
        <v>24254490000000</v>
      </c>
      <c r="BG59" s="1">
        <v>317.34930000000003</v>
      </c>
      <c r="BH59" s="1">
        <v>0</v>
      </c>
      <c r="BI59" s="1">
        <v>3.3003159999999999E-8</v>
      </c>
      <c r="BJ59" s="1">
        <v>0</v>
      </c>
      <c r="BK59" s="1">
        <v>247.34190000000001</v>
      </c>
      <c r="BL59" s="1">
        <v>1795.989</v>
      </c>
      <c r="BM59" s="1">
        <v>559502.9</v>
      </c>
      <c r="BN59" s="1">
        <v>506.67649999999998</v>
      </c>
      <c r="BO59" s="1">
        <v>2.1165550000000002E-2</v>
      </c>
      <c r="BP59" s="1">
        <v>3.7761680000000001E-8</v>
      </c>
      <c r="BQ59" s="1">
        <v>0.2459644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4.6833059999999998E-21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2.790794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N59" s="1">
        <f t="shared" si="0"/>
        <v>24977768566914.453</v>
      </c>
      <c r="DP59" s="1">
        <f t="shared" si="1"/>
        <v>1.644926763170642E-2</v>
      </c>
      <c r="DQ59" s="1">
        <f t="shared" si="2"/>
        <v>0.97104310719443099</v>
      </c>
      <c r="DR59" s="1">
        <f t="shared" si="3"/>
        <v>7.3453559115374747E-8</v>
      </c>
      <c r="DS59" s="1">
        <f t="shared" si="4"/>
        <v>2.7850766498071322E-3</v>
      </c>
      <c r="DT59" s="1">
        <f t="shared" si="5"/>
        <v>9.3953348703394501E-5</v>
      </c>
      <c r="DU59" s="1">
        <f t="shared" si="6"/>
        <v>9.6283580879422317E-3</v>
      </c>
    </row>
    <row r="60" spans="1:125" x14ac:dyDescent="0.2">
      <c r="A60">
        <v>16540.753841999998</v>
      </c>
      <c r="B60">
        <v>16396.921199</v>
      </c>
      <c r="C60">
        <v>16684.586483999999</v>
      </c>
      <c r="D60">
        <v>834.92594899999995</v>
      </c>
      <c r="E60" s="1">
        <v>0.21160670000000001</v>
      </c>
      <c r="F60" s="1">
        <v>70247.62</v>
      </c>
      <c r="G60" s="1">
        <v>9.6011600000000004E-16</v>
      </c>
      <c r="H60" s="1">
        <v>378229300000</v>
      </c>
      <c r="I60" s="1">
        <v>2048381</v>
      </c>
      <c r="J60" s="1">
        <v>1.3400850000000001E-6</v>
      </c>
      <c r="K60" s="1">
        <v>2.1516489999999999E-5</v>
      </c>
      <c r="L60" s="1">
        <v>152523300000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1596033</v>
      </c>
      <c r="Y60" s="1">
        <v>44106480000</v>
      </c>
      <c r="Z60" s="1">
        <v>561246.30000000005</v>
      </c>
      <c r="AA60" s="1">
        <v>1.206752</v>
      </c>
      <c r="AB60" s="1">
        <v>5.2558669999999998E-9</v>
      </c>
      <c r="AC60" s="1">
        <v>0.28096300000000002</v>
      </c>
      <c r="AD60" s="1">
        <v>1.1448900000000001E-17</v>
      </c>
      <c r="AE60" s="1">
        <v>5.4438339999999998E-10</v>
      </c>
      <c r="AF60" s="1">
        <v>110.5522</v>
      </c>
      <c r="AG60" s="1">
        <v>3.738904E-5</v>
      </c>
      <c r="AH60" s="1">
        <v>0.73079360000000004</v>
      </c>
      <c r="AI60" s="1">
        <v>8.6134609999999996E-4</v>
      </c>
      <c r="AJ60" s="1">
        <v>9.2885890000000005E-4</v>
      </c>
      <c r="AK60" s="1">
        <v>3.0820310000000001E-6</v>
      </c>
      <c r="AL60" s="1">
        <v>4.42437E-6</v>
      </c>
      <c r="AM60" s="1">
        <v>8.7758070000000005E-7</v>
      </c>
      <c r="AN60" s="1">
        <v>3.7104749999999998E-6</v>
      </c>
      <c r="AO60" s="1">
        <v>1.029495E-14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1505848000</v>
      </c>
      <c r="BF60" s="1">
        <v>15325340000000</v>
      </c>
      <c r="BG60" s="1">
        <v>472.62990000000002</v>
      </c>
      <c r="BH60" s="1">
        <v>0</v>
      </c>
      <c r="BI60" s="1">
        <v>5.8368450000000001E-8</v>
      </c>
      <c r="BJ60" s="1">
        <v>0</v>
      </c>
      <c r="BK60" s="1">
        <v>207.0155</v>
      </c>
      <c r="BL60" s="1">
        <v>1046.057</v>
      </c>
      <c r="BM60" s="1">
        <v>250294.6</v>
      </c>
      <c r="BN60" s="1">
        <v>277.2996</v>
      </c>
      <c r="BO60" s="1">
        <v>1.262922E-2</v>
      </c>
      <c r="BP60" s="1">
        <v>1.804505E-8</v>
      </c>
      <c r="BQ60" s="1">
        <v>0.2092965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1.8510230000000001E-21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1.9210149999999999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N60" s="1">
        <f t="shared" si="0"/>
        <v>15901709456320.438</v>
      </c>
      <c r="DP60" s="1">
        <f t="shared" si="1"/>
        <v>2.3785449044892815E-2</v>
      </c>
      <c r="DQ60" s="1">
        <f t="shared" si="2"/>
        <v>0.96375424554802513</v>
      </c>
      <c r="DR60" s="1">
        <f t="shared" si="3"/>
        <v>3.5294714794133153E-8</v>
      </c>
      <c r="DS60" s="1">
        <f t="shared" si="4"/>
        <v>2.7736942447070707E-3</v>
      </c>
      <c r="DT60" s="1">
        <f t="shared" si="5"/>
        <v>9.4697240201522618E-5</v>
      </c>
      <c r="DU60" s="1">
        <f t="shared" si="6"/>
        <v>9.5916291527623591E-3</v>
      </c>
    </row>
    <row r="61" spans="1:125" x14ac:dyDescent="0.2">
      <c r="A61">
        <v>16828.419126000001</v>
      </c>
      <c r="B61">
        <v>16684.586483999999</v>
      </c>
      <c r="C61">
        <v>16972.251767999998</v>
      </c>
      <c r="D61">
        <v>850.27494300000001</v>
      </c>
      <c r="E61" s="1">
        <v>0.1358866</v>
      </c>
      <c r="F61" s="1">
        <v>111258.7</v>
      </c>
      <c r="G61" s="1">
        <v>1.582869E-15</v>
      </c>
      <c r="H61" s="1">
        <v>346007400000</v>
      </c>
      <c r="I61" s="1">
        <v>2269412</v>
      </c>
      <c r="J61" s="1">
        <v>1.30896E-6</v>
      </c>
      <c r="K61" s="1">
        <v>1.7172509999999999E-5</v>
      </c>
      <c r="L61" s="1">
        <v>96169790000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1290162</v>
      </c>
      <c r="Y61" s="1">
        <v>27806080000</v>
      </c>
      <c r="Z61" s="1">
        <v>135608.20000000001</v>
      </c>
      <c r="AA61" s="1">
        <v>0.66115349999999995</v>
      </c>
      <c r="AB61" s="1">
        <v>1.8623169999999999E-9</v>
      </c>
      <c r="AC61" s="1">
        <v>0.14127880000000001</v>
      </c>
      <c r="AD61" s="1">
        <v>6.5646590000000002E-18</v>
      </c>
      <c r="AE61" s="1">
        <v>3.946822E-10</v>
      </c>
      <c r="AF61" s="1">
        <v>68.178870000000003</v>
      </c>
      <c r="AG61" s="1">
        <v>1.3815800000000001E-5</v>
      </c>
      <c r="AH61" s="1">
        <v>0.22087390000000001</v>
      </c>
      <c r="AI61" s="1">
        <v>1.616837E-4</v>
      </c>
      <c r="AJ61" s="1">
        <v>6.7191440000000005E-5</v>
      </c>
      <c r="AK61" s="1">
        <v>1.8810080000000001E-6</v>
      </c>
      <c r="AL61" s="1">
        <v>1.1743740000000001E-6</v>
      </c>
      <c r="AM61" s="1">
        <v>2.7377699999999998E-7</v>
      </c>
      <c r="AN61" s="1">
        <v>3.5064659999999998E-7</v>
      </c>
      <c r="AO61" s="1">
        <v>7.7228939999999998E-16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955842900</v>
      </c>
      <c r="BF61" s="1">
        <v>9609958000000</v>
      </c>
      <c r="BG61" s="1">
        <v>757.90750000000003</v>
      </c>
      <c r="BH61" s="1">
        <v>0</v>
      </c>
      <c r="BI61" s="1">
        <v>1.512213E-7</v>
      </c>
      <c r="BJ61" s="1">
        <v>0</v>
      </c>
      <c r="BK61" s="1">
        <v>146.61940000000001</v>
      </c>
      <c r="BL61" s="1">
        <v>521.45460000000003</v>
      </c>
      <c r="BM61" s="1">
        <v>89356.39</v>
      </c>
      <c r="BN61" s="1">
        <v>135.77979999999999</v>
      </c>
      <c r="BO61" s="1">
        <v>6.7293559999999997E-3</v>
      </c>
      <c r="BP61" s="1">
        <v>6.9721740000000004E-9</v>
      </c>
      <c r="BQ61" s="1">
        <v>0.17586940000000001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5.5774080000000001E-22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1.1740809999999999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N61" s="1">
        <f t="shared" si="0"/>
        <v>10080901010329.609</v>
      </c>
      <c r="DP61" s="1">
        <f t="shared" si="1"/>
        <v>3.4323062952949956E-2</v>
      </c>
      <c r="DQ61" s="1">
        <f t="shared" si="2"/>
        <v>0.95328363904704072</v>
      </c>
      <c r="DR61" s="1">
        <f t="shared" si="3"/>
        <v>1.3451992025419771E-8</v>
      </c>
      <c r="DS61" s="1">
        <f t="shared" si="4"/>
        <v>2.7582931299005822E-3</v>
      </c>
      <c r="DT61" s="1">
        <f t="shared" si="5"/>
        <v>9.4817209197925391E-5</v>
      </c>
      <c r="DU61" s="1">
        <f t="shared" si="6"/>
        <v>9.5398010457058927E-3</v>
      </c>
    </row>
    <row r="62" spans="1:125" x14ac:dyDescent="0.2">
      <c r="A62">
        <v>17116.084409999999</v>
      </c>
      <c r="B62">
        <v>16972.251767999998</v>
      </c>
      <c r="C62">
        <v>17259.917052000001</v>
      </c>
      <c r="D62">
        <v>864.88635199999999</v>
      </c>
      <c r="E62" s="1">
        <v>8.7980619999999995E-2</v>
      </c>
      <c r="F62" s="1">
        <v>178661.4</v>
      </c>
      <c r="G62" s="1">
        <v>2.7109780000000001E-15</v>
      </c>
      <c r="H62" s="1">
        <v>320361500000</v>
      </c>
      <c r="I62" s="1">
        <v>2531581</v>
      </c>
      <c r="J62" s="1">
        <v>1.324218E-6</v>
      </c>
      <c r="K62" s="1">
        <v>1.3920659999999999E-5</v>
      </c>
      <c r="L62" s="1">
        <v>61203240000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919815.3</v>
      </c>
      <c r="Y62" s="1">
        <v>17689660000</v>
      </c>
      <c r="Z62" s="1">
        <v>28061.59</v>
      </c>
      <c r="AA62" s="1">
        <v>0.32210949999999999</v>
      </c>
      <c r="AB62" s="1">
        <v>5.9985919999999999E-10</v>
      </c>
      <c r="AC62" s="1">
        <v>6.0787849999999997E-2</v>
      </c>
      <c r="AD62" s="1">
        <v>3.1887519999999999E-18</v>
      </c>
      <c r="AE62" s="1">
        <v>2.5093619999999999E-10</v>
      </c>
      <c r="AF62" s="1">
        <v>41.023560000000003</v>
      </c>
      <c r="AG62" s="1">
        <v>3.471979E-6</v>
      </c>
      <c r="AH62" s="1">
        <v>4.6067990000000003E-2</v>
      </c>
      <c r="AI62" s="1">
        <v>2.1865280000000001E-5</v>
      </c>
      <c r="AJ62" s="1">
        <v>3.6306539999999998E-6</v>
      </c>
      <c r="AK62" s="1">
        <v>1.337934E-6</v>
      </c>
      <c r="AL62" s="1">
        <v>4.2450049999999998E-7</v>
      </c>
      <c r="AM62" s="1">
        <v>9.9150309999999997E-8</v>
      </c>
      <c r="AN62" s="1">
        <v>3.0971759999999997E-8</v>
      </c>
      <c r="AO62" s="1">
        <v>5.7232360000000002E-17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617812200</v>
      </c>
      <c r="BF62" s="1">
        <v>6066817000000</v>
      </c>
      <c r="BG62" s="1">
        <v>1243.422</v>
      </c>
      <c r="BH62" s="1">
        <v>0</v>
      </c>
      <c r="BI62" s="1">
        <v>3.8218279999999999E-7</v>
      </c>
      <c r="BJ62" s="1">
        <v>0</v>
      </c>
      <c r="BK62" s="1">
        <v>89.326920000000001</v>
      </c>
      <c r="BL62" s="1">
        <v>221.70400000000001</v>
      </c>
      <c r="BM62" s="1">
        <v>27447.1</v>
      </c>
      <c r="BN62" s="1">
        <v>68.829840000000004</v>
      </c>
      <c r="BO62" s="1">
        <v>3.0532010000000002E-3</v>
      </c>
      <c r="BP62" s="1">
        <v>2.3360660000000002E-9</v>
      </c>
      <c r="BQ62" s="1">
        <v>0.13955229999999999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1.547886E-22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0.61236930000000001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N62" s="1">
        <f t="shared" si="0"/>
        <v>6466692899431.8799</v>
      </c>
      <c r="DP62" s="1">
        <f t="shared" si="1"/>
        <v>4.9540237178750952E-2</v>
      </c>
      <c r="DQ62" s="1">
        <f t="shared" si="2"/>
        <v>0.93816377155206954</v>
      </c>
      <c r="DR62" s="1">
        <f t="shared" si="3"/>
        <v>4.3394035307390742E-9</v>
      </c>
      <c r="DS62" s="1">
        <f t="shared" si="4"/>
        <v>2.7355033361108109E-3</v>
      </c>
      <c r="DT62" s="1">
        <f t="shared" si="5"/>
        <v>9.5537581513152861E-5</v>
      </c>
      <c r="DU62" s="1">
        <f t="shared" si="6"/>
        <v>9.4643801633717446E-3</v>
      </c>
    </row>
    <row r="63" spans="1:125" x14ac:dyDescent="0.2">
      <c r="A63">
        <v>17403.749693999998</v>
      </c>
      <c r="B63">
        <v>17259.917052000001</v>
      </c>
      <c r="C63">
        <v>17547.582335999999</v>
      </c>
      <c r="D63">
        <v>868.38458600000001</v>
      </c>
      <c r="E63" s="1">
        <v>5.7246709999999999E-2</v>
      </c>
      <c r="F63" s="1">
        <v>269270</v>
      </c>
      <c r="G63" s="1">
        <v>4.4634820000000001E-15</v>
      </c>
      <c r="H63" s="1">
        <v>300041100000</v>
      </c>
      <c r="I63" s="1">
        <v>2620408</v>
      </c>
      <c r="J63" s="1">
        <v>1.355209E-6</v>
      </c>
      <c r="K63" s="1">
        <v>1.0177240000000001E-5</v>
      </c>
      <c r="L63" s="1">
        <v>39642370000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637068.1</v>
      </c>
      <c r="Y63" s="1">
        <v>11444370000</v>
      </c>
      <c r="Z63" s="1">
        <v>5337.5339999999997</v>
      </c>
      <c r="AA63" s="1">
        <v>0.13998959999999999</v>
      </c>
      <c r="AB63" s="1">
        <v>1.7887960000000001E-10</v>
      </c>
      <c r="AC63" s="1">
        <v>2.1098229999999999E-2</v>
      </c>
      <c r="AD63" s="1">
        <v>1.197687E-18</v>
      </c>
      <c r="AE63" s="1">
        <v>1.6147040000000001E-10</v>
      </c>
      <c r="AF63" s="1">
        <v>24.433800000000002</v>
      </c>
      <c r="AG63" s="1">
        <v>4.4197209999999997E-7</v>
      </c>
      <c r="AH63" s="1">
        <v>5.5868519999999998E-3</v>
      </c>
      <c r="AI63" s="1">
        <v>2.2846230000000001E-6</v>
      </c>
      <c r="AJ63" s="1">
        <v>1.87798E-7</v>
      </c>
      <c r="AK63" s="1">
        <v>9.9977470000000007E-7</v>
      </c>
      <c r="AL63" s="1">
        <v>2.1306330000000001E-7</v>
      </c>
      <c r="AM63" s="1">
        <v>4.6878019999999998E-8</v>
      </c>
      <c r="AN63" s="1">
        <v>4.4202370000000003E-9</v>
      </c>
      <c r="AO63" s="1">
        <v>7.4842130000000004E-18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419819600</v>
      </c>
      <c r="BF63" s="1">
        <v>3885377000000</v>
      </c>
      <c r="BG63" s="1">
        <v>1997.712</v>
      </c>
      <c r="BH63" s="1">
        <v>0</v>
      </c>
      <c r="BI63" s="1">
        <v>4.1599300000000002E-6</v>
      </c>
      <c r="BJ63" s="1">
        <v>0</v>
      </c>
      <c r="BK63" s="1">
        <v>44.569839999999999</v>
      </c>
      <c r="BL63" s="1">
        <v>76.035240000000002</v>
      </c>
      <c r="BM63" s="1">
        <v>7648.134</v>
      </c>
      <c r="BN63" s="1">
        <v>40.264780000000002</v>
      </c>
      <c r="BO63" s="1">
        <v>1.073313E-3</v>
      </c>
      <c r="BP63" s="1">
        <v>7.3828770000000003E-10</v>
      </c>
      <c r="BQ63" s="1">
        <v>9.8531019999999997E-2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4.4575189999999997E-23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0.25596140000000001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N63" s="1">
        <f t="shared" si="0"/>
        <v>4236928201515.3052</v>
      </c>
      <c r="DP63" s="1">
        <f t="shared" ref="DP63:DP72" si="7">H63/DN63</f>
        <v>7.0815715001423099E-2</v>
      </c>
      <c r="DQ63" s="1">
        <f t="shared" si="2"/>
        <v>0.91702686833598557</v>
      </c>
      <c r="DR63" s="1">
        <f t="shared" si="3"/>
        <v>1.2597650340383562E-9</v>
      </c>
      <c r="DS63" s="1">
        <f t="shared" si="4"/>
        <v>2.7011007634981893E-3</v>
      </c>
      <c r="DT63" s="1">
        <f t="shared" si="5"/>
        <v>9.9085842391630495E-5</v>
      </c>
      <c r="DU63" s="1">
        <f t="shared" si="6"/>
        <v>9.3563940936790494E-3</v>
      </c>
    </row>
    <row r="64" spans="1:125" x14ac:dyDescent="0.2">
      <c r="A64">
        <v>17691.414978000001</v>
      </c>
      <c r="B64">
        <v>17547.582335999999</v>
      </c>
      <c r="C64">
        <v>17835.247619999998</v>
      </c>
      <c r="D64">
        <v>868.38458600000001</v>
      </c>
      <c r="E64" s="1">
        <v>3.7266710000000002E-2</v>
      </c>
      <c r="F64" s="1">
        <v>406652.1</v>
      </c>
      <c r="G64" s="1">
        <v>7.8561239999999996E-15</v>
      </c>
      <c r="H64" s="1">
        <v>280115000000</v>
      </c>
      <c r="I64" s="1">
        <v>2712977</v>
      </c>
      <c r="J64" s="1">
        <v>1.4699980000000001E-6</v>
      </c>
      <c r="K64" s="1">
        <v>7.591036E-6</v>
      </c>
      <c r="L64" s="1">
        <v>25778710000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441095.1</v>
      </c>
      <c r="Y64" s="1">
        <v>7423455000</v>
      </c>
      <c r="Z64" s="1">
        <v>1025.124</v>
      </c>
      <c r="AA64" s="1">
        <v>6.2334580000000001E-2</v>
      </c>
      <c r="AB64" s="1">
        <v>5.5926340000000001E-11</v>
      </c>
      <c r="AC64" s="1">
        <v>6.9660249999999998E-3</v>
      </c>
      <c r="AD64" s="1">
        <v>4.3578139999999997E-19</v>
      </c>
      <c r="AE64" s="1">
        <v>1.104709E-10</v>
      </c>
      <c r="AF64" s="1">
        <v>14.189439999999999</v>
      </c>
      <c r="AG64" s="1">
        <v>5.0272939999999997E-8</v>
      </c>
      <c r="AH64" s="1">
        <v>6.1035669999999996E-4</v>
      </c>
      <c r="AI64" s="1">
        <v>2.3303839999999999E-7</v>
      </c>
      <c r="AJ64" s="1">
        <v>1.0320420000000001E-8</v>
      </c>
      <c r="AK64" s="1">
        <v>7.9332850000000004E-7</v>
      </c>
      <c r="AL64" s="1">
        <v>1.215189E-7</v>
      </c>
      <c r="AM64" s="1">
        <v>2.5144629999999999E-8</v>
      </c>
      <c r="AN64" s="1">
        <v>7.4963290000000002E-10</v>
      </c>
      <c r="AO64" s="1">
        <v>1.1814039999999999E-18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299927800</v>
      </c>
      <c r="BF64" s="1">
        <v>2486904000000</v>
      </c>
      <c r="BG64" s="1">
        <v>3360.7249999999999</v>
      </c>
      <c r="BH64" s="1">
        <v>0</v>
      </c>
      <c r="BI64" s="1">
        <v>3.4864040000000002E-4</v>
      </c>
      <c r="BJ64" s="1">
        <v>0</v>
      </c>
      <c r="BK64" s="1">
        <v>21.136600000000001</v>
      </c>
      <c r="BL64" s="1">
        <v>24.70505</v>
      </c>
      <c r="BM64" s="1">
        <v>2141.5369999999998</v>
      </c>
      <c r="BN64" s="1">
        <v>24.383459999999999</v>
      </c>
      <c r="BO64" s="1">
        <v>3.5448620000000001E-4</v>
      </c>
      <c r="BP64" s="1">
        <v>2.231492E-10</v>
      </c>
      <c r="BQ64" s="1">
        <v>6.4134360000000001E-2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1.3936659999999999E-23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0.10341880000000001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N64" s="1">
        <f t="shared" si="0"/>
        <v>2800524660136.2393</v>
      </c>
      <c r="DP64" s="1">
        <f t="shared" si="7"/>
        <v>0.100022329382514</v>
      </c>
      <c r="DQ64" s="1">
        <f t="shared" si="2"/>
        <v>0.88801360523603379</v>
      </c>
      <c r="DR64" s="1">
        <f t="shared" si="3"/>
        <v>3.6604712488056795E-10</v>
      </c>
      <c r="DS64" s="1">
        <f t="shared" si="4"/>
        <v>2.6507372370857345E-3</v>
      </c>
      <c r="DT64" s="1">
        <f t="shared" si="5"/>
        <v>1.0709700373979537E-4</v>
      </c>
      <c r="DU64" s="1">
        <f t="shared" si="6"/>
        <v>9.2049573306545798E-3</v>
      </c>
    </row>
    <row r="65" spans="1:125" x14ac:dyDescent="0.2">
      <c r="A65">
        <v>17979.080261999999</v>
      </c>
      <c r="B65">
        <v>17835.247619999998</v>
      </c>
      <c r="C65">
        <v>18122.912905000001</v>
      </c>
      <c r="D65">
        <v>868.38458600000001</v>
      </c>
      <c r="E65" s="1">
        <v>2.426004E-2</v>
      </c>
      <c r="F65" s="1">
        <v>646850.69999999995</v>
      </c>
      <c r="G65" s="1">
        <v>1.6405969999999999E-14</v>
      </c>
      <c r="H65" s="1">
        <v>259842800000</v>
      </c>
      <c r="I65" s="1">
        <v>2955441</v>
      </c>
      <c r="J65" s="1">
        <v>1.7915769999999999E-6</v>
      </c>
      <c r="K65" s="1">
        <v>6.3059580000000004E-6</v>
      </c>
      <c r="L65" s="1">
        <v>16748830000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310993.40000000002</v>
      </c>
      <c r="Y65" s="1">
        <v>4801387000</v>
      </c>
      <c r="Z65" s="1">
        <v>206.6711</v>
      </c>
      <c r="AA65" s="1">
        <v>3.0796090000000002E-2</v>
      </c>
      <c r="AB65" s="1">
        <v>2.0781769999999999E-11</v>
      </c>
      <c r="AC65" s="1">
        <v>2.3543489999999999E-3</v>
      </c>
      <c r="AD65" s="1">
        <v>1.7167079999999999E-19</v>
      </c>
      <c r="AE65" s="1">
        <v>8.0879070000000002E-11</v>
      </c>
      <c r="AF65" s="1">
        <v>7.8999199999999998</v>
      </c>
      <c r="AG65" s="1">
        <v>7.6415359999999992E-9</v>
      </c>
      <c r="AH65" s="1">
        <v>7.9578059999999993E-5</v>
      </c>
      <c r="AI65" s="1">
        <v>2.818724E-8</v>
      </c>
      <c r="AJ65" s="1">
        <v>6.2900899999999997E-10</v>
      </c>
      <c r="AK65" s="1">
        <v>6.6492789999999996E-7</v>
      </c>
      <c r="AL65" s="1">
        <v>7.2755379999999994E-8</v>
      </c>
      <c r="AM65" s="1">
        <v>1.3981839999999999E-8</v>
      </c>
      <c r="AN65" s="1">
        <v>1.3240650000000001E-10</v>
      </c>
      <c r="AO65" s="1">
        <v>1.969834E-19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226391200</v>
      </c>
      <c r="BF65" s="1">
        <v>1580175000000</v>
      </c>
      <c r="BG65" s="1">
        <v>6334.9549999999999</v>
      </c>
      <c r="BH65" s="1">
        <v>0</v>
      </c>
      <c r="BI65" s="1">
        <v>1.3690330000000001E-2</v>
      </c>
      <c r="BJ65" s="1">
        <v>0</v>
      </c>
      <c r="BK65" s="1">
        <v>10.20196</v>
      </c>
      <c r="BL65" s="1">
        <v>8.1643360000000005</v>
      </c>
      <c r="BM65" s="1">
        <v>630.35540000000003</v>
      </c>
      <c r="BN65" s="1">
        <v>14.62954</v>
      </c>
      <c r="BO65" s="1">
        <v>1.198316E-4</v>
      </c>
      <c r="BP65" s="1">
        <v>6.9622659999999999E-11</v>
      </c>
      <c r="BQ65" s="1">
        <v>3.8945899999999999E-2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5.1789149999999999E-24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4.401791E-2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N65" s="1">
        <f t="shared" si="0"/>
        <v>1861798328698.1074</v>
      </c>
      <c r="DP65" s="1">
        <f t="shared" si="7"/>
        <v>0.1395654921345317</v>
      </c>
      <c r="DQ65" s="1">
        <f t="shared" si="2"/>
        <v>0.84873585696307019</v>
      </c>
      <c r="DR65" s="1">
        <f t="shared" si="3"/>
        <v>1.1100616904330239E-10</v>
      </c>
      <c r="DS65" s="1">
        <f t="shared" si="4"/>
        <v>2.5788974702525636E-3</v>
      </c>
      <c r="DT65" s="1">
        <f t="shared" si="5"/>
        <v>1.2159813257449195E-4</v>
      </c>
      <c r="DU65" s="1">
        <f t="shared" si="6"/>
        <v>8.996049540828565E-3</v>
      </c>
    </row>
    <row r="66" spans="1:125" x14ac:dyDescent="0.2">
      <c r="A66">
        <v>18266.745546999999</v>
      </c>
      <c r="B66">
        <v>18122.912905000001</v>
      </c>
      <c r="C66">
        <v>18410.578189</v>
      </c>
      <c r="D66">
        <v>868.38458600000001</v>
      </c>
      <c r="E66" s="1">
        <v>1.5792899999999999E-2</v>
      </c>
      <c r="F66" s="1">
        <v>1136790</v>
      </c>
      <c r="G66" s="1">
        <v>4.7018370000000001E-14</v>
      </c>
      <c r="H66" s="1">
        <v>239404000000</v>
      </c>
      <c r="I66" s="1">
        <v>3542867</v>
      </c>
      <c r="J66" s="1">
        <v>2.7022020000000002E-6</v>
      </c>
      <c r="K66" s="1">
        <v>6.3832530000000001E-6</v>
      </c>
      <c r="L66" s="1">
        <v>10866740000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226415.7</v>
      </c>
      <c r="Y66" s="1">
        <v>3091449000</v>
      </c>
      <c r="Z66" s="1">
        <v>43.783160000000002</v>
      </c>
      <c r="AA66" s="1">
        <v>1.778857E-2</v>
      </c>
      <c r="AB66" s="1">
        <v>1.2637519999999999E-11</v>
      </c>
      <c r="AC66" s="1">
        <v>8.2340419999999998E-4</v>
      </c>
      <c r="AD66" s="1">
        <v>7.7427330000000004E-20</v>
      </c>
      <c r="AE66" s="1">
        <v>5.9844000000000006E-11</v>
      </c>
      <c r="AF66" s="1">
        <v>4.122026</v>
      </c>
      <c r="AG66" s="1">
        <v>1.900158E-9</v>
      </c>
      <c r="AH66" s="1">
        <v>1.5274319999999998E-5</v>
      </c>
      <c r="AI66" s="1">
        <v>4.9852029999999998E-9</v>
      </c>
      <c r="AJ66" s="1">
        <v>4.2762740000000001E-11</v>
      </c>
      <c r="AK66" s="1">
        <v>5.9443539999999996E-7</v>
      </c>
      <c r="AL66" s="1">
        <v>4.5839260000000001E-8</v>
      </c>
      <c r="AM66" s="1">
        <v>8.1248629999999993E-9</v>
      </c>
      <c r="AN66" s="1">
        <v>2.4388890000000002E-11</v>
      </c>
      <c r="AO66" s="1">
        <v>3.6691489999999998E-20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181531400</v>
      </c>
      <c r="BF66" s="1">
        <v>993535300000</v>
      </c>
      <c r="BG66" s="1">
        <v>14751.7</v>
      </c>
      <c r="BH66" s="1">
        <v>0</v>
      </c>
      <c r="BI66" s="1">
        <v>0.1877153</v>
      </c>
      <c r="BJ66" s="1">
        <v>0</v>
      </c>
      <c r="BK66" s="1">
        <v>5.0670060000000001</v>
      </c>
      <c r="BL66" s="1">
        <v>2.7665199999999999</v>
      </c>
      <c r="BM66" s="1">
        <v>195.696</v>
      </c>
      <c r="BN66" s="1">
        <v>8.6785499999999995</v>
      </c>
      <c r="BO66" s="1">
        <v>4.1915239999999997E-5</v>
      </c>
      <c r="BP66" s="1">
        <v>2.627216E-11</v>
      </c>
      <c r="BQ66" s="1">
        <v>2.168753E-2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3.1495179999999999E-24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1.9871E-2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N66" s="1">
        <f t="shared" si="0"/>
        <v>1247083941484.761</v>
      </c>
      <c r="DP66" s="1">
        <f t="shared" si="7"/>
        <v>0.19197103902642584</v>
      </c>
      <c r="DQ66" s="1">
        <f t="shared" si="2"/>
        <v>0.7966867882342471</v>
      </c>
      <c r="DR66" s="1">
        <f t="shared" si="3"/>
        <v>3.5108430590383813E-11</v>
      </c>
      <c r="DS66" s="1">
        <f t="shared" si="4"/>
        <v>2.4789421923911261E-3</v>
      </c>
      <c r="DT66" s="1">
        <f t="shared" si="5"/>
        <v>1.4556470014670482E-4</v>
      </c>
      <c r="DU66" s="1">
        <f t="shared" si="6"/>
        <v>8.713719773395693E-3</v>
      </c>
    </row>
    <row r="67" spans="1:125" x14ac:dyDescent="0.2">
      <c r="A67">
        <v>18554.410831000001</v>
      </c>
      <c r="B67">
        <v>18410.578189</v>
      </c>
      <c r="C67">
        <v>18698.243472999999</v>
      </c>
      <c r="D67">
        <v>868.38458600000001</v>
      </c>
      <c r="E67" s="1">
        <v>1.0280930000000001E-2</v>
      </c>
      <c r="F67" s="1">
        <v>2322975</v>
      </c>
      <c r="G67" s="1">
        <v>2.1543619999999999E-13</v>
      </c>
      <c r="H67" s="1">
        <v>218341200000</v>
      </c>
      <c r="I67" s="1">
        <v>4913339</v>
      </c>
      <c r="J67" s="1">
        <v>5.5646570000000001E-6</v>
      </c>
      <c r="K67" s="1">
        <v>8.7294419999999997E-6</v>
      </c>
      <c r="L67" s="1">
        <v>7034380000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172260.4</v>
      </c>
      <c r="Y67" s="1">
        <v>1977002000</v>
      </c>
      <c r="Z67" s="1">
        <v>9.6248559999999994</v>
      </c>
      <c r="AA67" s="1">
        <v>1.2593689999999999E-2</v>
      </c>
      <c r="AB67" s="1">
        <v>1.403364E-11</v>
      </c>
      <c r="AC67" s="1">
        <v>3.0203679999999999E-4</v>
      </c>
      <c r="AD67" s="1">
        <v>4.2721689999999998E-20</v>
      </c>
      <c r="AE67" s="1">
        <v>4.1972809999999998E-11</v>
      </c>
      <c r="AF67" s="1">
        <v>1.937738</v>
      </c>
      <c r="AG67" s="1">
        <v>6.3871389999999996E-10</v>
      </c>
      <c r="AH67" s="1">
        <v>4.3003049999999996E-6</v>
      </c>
      <c r="AI67" s="1">
        <v>1.280167E-9</v>
      </c>
      <c r="AJ67" s="1">
        <v>3.1648850000000002E-12</v>
      </c>
      <c r="AK67" s="1">
        <v>5.7366770000000005E-7</v>
      </c>
      <c r="AL67" s="1">
        <v>3.0662259999999997E-8</v>
      </c>
      <c r="AM67" s="1">
        <v>4.9866340000000002E-9</v>
      </c>
      <c r="AN67" s="1">
        <v>4.6036339999999997E-12</v>
      </c>
      <c r="AO67" s="1">
        <v>8.8501329999999993E-21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153631800</v>
      </c>
      <c r="BF67" s="1">
        <v>615524800000</v>
      </c>
      <c r="BG67" s="1">
        <v>46843.9</v>
      </c>
      <c r="BH67" s="1">
        <v>0</v>
      </c>
      <c r="BI67" s="1">
        <v>1.3206979999999999</v>
      </c>
      <c r="BJ67" s="1">
        <v>0</v>
      </c>
      <c r="BK67" s="1">
        <v>2.6179790000000001</v>
      </c>
      <c r="BL67" s="1">
        <v>0.97001409999999999</v>
      </c>
      <c r="BM67" s="1">
        <v>63.322420000000001</v>
      </c>
      <c r="BN67" s="1">
        <v>5.061706</v>
      </c>
      <c r="BO67" s="1">
        <v>1.5376650000000001E-5</v>
      </c>
      <c r="BP67" s="1">
        <v>1.840936E-11</v>
      </c>
      <c r="BQ67" s="1">
        <v>1.070012E-2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3.497905E-24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9.4210430000000005E-3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N67" s="1">
        <f t="shared" si="0"/>
        <v>843038469303.18823</v>
      </c>
      <c r="DP67" s="1">
        <f t="shared" si="7"/>
        <v>0.25899316336118028</v>
      </c>
      <c r="DQ67" s="1">
        <f t="shared" si="2"/>
        <v>0.73012658664172325</v>
      </c>
      <c r="DR67" s="1">
        <f t="shared" si="3"/>
        <v>1.1416864532831348E-11</v>
      </c>
      <c r="DS67" s="1">
        <f t="shared" si="4"/>
        <v>2.3450910865717516E-3</v>
      </c>
      <c r="DT67" s="1">
        <f t="shared" si="5"/>
        <v>1.8223581199916541E-4</v>
      </c>
      <c r="DU67" s="1">
        <f t="shared" si="6"/>
        <v>8.3440794888212551E-3</v>
      </c>
    </row>
    <row r="68" spans="1:125" x14ac:dyDescent="0.2">
      <c r="A68">
        <v>18842.076115</v>
      </c>
      <c r="B68">
        <v>18698.243472999999</v>
      </c>
      <c r="C68">
        <v>18985.908757000001</v>
      </c>
      <c r="D68">
        <v>868.38458600000001</v>
      </c>
      <c r="E68" s="1">
        <v>6.6927250000000001E-3</v>
      </c>
      <c r="F68" s="1">
        <v>5379907</v>
      </c>
      <c r="G68" s="1">
        <v>1.4623709999999999E-12</v>
      </c>
      <c r="H68" s="1">
        <v>195593700000</v>
      </c>
      <c r="I68" s="1">
        <v>7706725</v>
      </c>
      <c r="J68" s="1">
        <v>1.477328E-5</v>
      </c>
      <c r="K68" s="1">
        <v>1.5525449999999999E-5</v>
      </c>
      <c r="L68" s="1">
        <v>4536505000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139141.5</v>
      </c>
      <c r="Y68" s="1">
        <v>1252876000</v>
      </c>
      <c r="Z68" s="1">
        <v>2.134226</v>
      </c>
      <c r="AA68" s="1">
        <v>1.045303E-2</v>
      </c>
      <c r="AB68" s="1">
        <v>1.9616920000000002E-11</v>
      </c>
      <c r="AC68" s="1">
        <v>1.191498E-4</v>
      </c>
      <c r="AD68" s="1">
        <v>2.9093030000000001E-20</v>
      </c>
      <c r="AE68" s="1">
        <v>2.6187509999999999E-11</v>
      </c>
      <c r="AF68" s="1">
        <v>0.76939449999999998</v>
      </c>
      <c r="AG68" s="1">
        <v>2.0489109999999999E-10</v>
      </c>
      <c r="AH68" s="1">
        <v>1.2761599999999999E-6</v>
      </c>
      <c r="AI68" s="1">
        <v>3.4035940000000002E-10</v>
      </c>
      <c r="AJ68" s="1">
        <v>2.391884E-13</v>
      </c>
      <c r="AK68" s="1">
        <v>5.5002610000000005E-7</v>
      </c>
      <c r="AL68" s="1">
        <v>2.004655E-8</v>
      </c>
      <c r="AM68" s="1">
        <v>2.9691969999999999E-9</v>
      </c>
      <c r="AN68" s="1">
        <v>8.542393E-13</v>
      </c>
      <c r="AO68" s="1">
        <v>3.1658780000000001E-21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134106600</v>
      </c>
      <c r="BF68" s="1">
        <v>373968400000</v>
      </c>
      <c r="BG68" s="1">
        <v>191621.1</v>
      </c>
      <c r="BH68" s="1">
        <v>0</v>
      </c>
      <c r="BI68" s="1">
        <v>6.0701790000000004</v>
      </c>
      <c r="BJ68" s="1">
        <v>0</v>
      </c>
      <c r="BK68" s="1">
        <v>1.433716</v>
      </c>
      <c r="BL68" s="1">
        <v>0.35891679999999998</v>
      </c>
      <c r="BM68" s="1">
        <v>20.69136</v>
      </c>
      <c r="BN68" s="1">
        <v>2.8735400000000002</v>
      </c>
      <c r="BO68" s="1">
        <v>6.066421E-6</v>
      </c>
      <c r="BP68" s="1">
        <v>1.547974E-11</v>
      </c>
      <c r="BQ68" s="1">
        <v>4.4055689999999998E-3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4.8907920000000001E-24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4.5390789999999997E-3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N68" s="1">
        <f t="shared" ref="DN68:DN72" si="8">SUM(F68:DL68)</f>
        <v>575499005028.95093</v>
      </c>
      <c r="DP68" s="1">
        <f t="shared" si="7"/>
        <v>0.33986800722645993</v>
      </c>
      <c r="DQ68" s="1">
        <f t="shared" ref="DQ68:DQ72" si="9">BF68/DN68</f>
        <v>0.64981589321981059</v>
      </c>
      <c r="DR68" s="1">
        <f t="shared" ref="DR68:DR72" si="10">Z68/DN68</f>
        <v>3.7084790440126585E-12</v>
      </c>
      <c r="DS68" s="1">
        <f t="shared" ref="DS68:DS72" si="11">Y68/DN68</f>
        <v>2.1770254840613895E-3</v>
      </c>
      <c r="DT68" s="1">
        <f t="shared" ref="DT68:DT72" si="12">BE68/DN68</f>
        <v>2.330266409292118E-4</v>
      </c>
      <c r="DU68" s="1">
        <f t="shared" ref="DU68:DU72" si="13">L68/DN68</f>
        <v>7.8827330027647705E-3</v>
      </c>
    </row>
    <row r="69" spans="1:125" x14ac:dyDescent="0.2">
      <c r="A69">
        <v>19129.741398999999</v>
      </c>
      <c r="B69">
        <v>18985.908757000001</v>
      </c>
      <c r="C69">
        <v>19273.574041</v>
      </c>
      <c r="D69">
        <v>868.38458600000001</v>
      </c>
      <c r="E69" s="1">
        <v>4.3568590000000003E-3</v>
      </c>
      <c r="F69" s="1">
        <v>12815280</v>
      </c>
      <c r="G69" s="1">
        <v>1.13296E-11</v>
      </c>
      <c r="H69" s="1">
        <v>170219200000</v>
      </c>
      <c r="I69" s="1">
        <v>12491270</v>
      </c>
      <c r="J69" s="1">
        <v>4.2534470000000002E-5</v>
      </c>
      <c r="K69" s="1">
        <v>3.027727E-5</v>
      </c>
      <c r="L69" s="1">
        <v>2905436000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124304.9</v>
      </c>
      <c r="Y69" s="1">
        <v>786015800</v>
      </c>
      <c r="Z69" s="1">
        <v>0.46394030000000003</v>
      </c>
      <c r="AA69" s="1">
        <v>8.997573E-3</v>
      </c>
      <c r="AB69" s="1">
        <v>2.8536360000000001E-11</v>
      </c>
      <c r="AC69" s="1">
        <v>5.3450759999999997E-5</v>
      </c>
      <c r="AD69" s="1">
        <v>2.3825700000000001E-20</v>
      </c>
      <c r="AE69" s="1">
        <v>1.430408E-11</v>
      </c>
      <c r="AF69" s="1">
        <v>0.235238</v>
      </c>
      <c r="AG69" s="1">
        <v>4.9781670000000003E-11</v>
      </c>
      <c r="AH69" s="1">
        <v>2.9239700000000002E-7</v>
      </c>
      <c r="AI69" s="1">
        <v>6.787525E-11</v>
      </c>
      <c r="AJ69" s="1">
        <v>1.705635E-14</v>
      </c>
      <c r="AK69" s="1">
        <v>4.3755260000000001E-7</v>
      </c>
      <c r="AL69" s="1">
        <v>1.0750619999999999E-8</v>
      </c>
      <c r="AM69" s="1">
        <v>1.4303239999999999E-9</v>
      </c>
      <c r="AN69" s="1">
        <v>1.485468E-13</v>
      </c>
      <c r="AO69" s="1">
        <v>1.230516E-21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116854200</v>
      </c>
      <c r="BF69" s="1">
        <v>222008800000</v>
      </c>
      <c r="BG69" s="1">
        <v>849894.2</v>
      </c>
      <c r="BH69" s="1">
        <v>0</v>
      </c>
      <c r="BI69" s="1">
        <v>22.218810000000001</v>
      </c>
      <c r="BJ69" s="1">
        <v>0</v>
      </c>
      <c r="BK69" s="1">
        <v>0.87340249999999997</v>
      </c>
      <c r="BL69" s="1">
        <v>0.14781430000000001</v>
      </c>
      <c r="BM69" s="1">
        <v>6.5869819999999999</v>
      </c>
      <c r="BN69" s="1">
        <v>1.5688979999999999</v>
      </c>
      <c r="BO69" s="1">
        <v>2.7216509999999998E-6</v>
      </c>
      <c r="BP69" s="1">
        <v>1.400216E-11</v>
      </c>
      <c r="BQ69" s="1">
        <v>1.386415E-3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7.1176280000000003E-24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2.1333279999999999E-3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N69" s="1">
        <f t="shared" si="8"/>
        <v>396062586781.20776</v>
      </c>
      <c r="DP69" s="1">
        <f t="shared" si="7"/>
        <v>0.42977853925403009</v>
      </c>
      <c r="DQ69" s="1">
        <f t="shared" si="9"/>
        <v>0.56053969097222944</v>
      </c>
      <c r="DR69" s="1">
        <f t="shared" si="10"/>
        <v>1.1713812803436776E-12</v>
      </c>
      <c r="DS69" s="1">
        <f t="shared" si="11"/>
        <v>1.9845747269085267E-3</v>
      </c>
      <c r="DT69" s="1">
        <f t="shared" si="12"/>
        <v>2.9503973336555619E-4</v>
      </c>
      <c r="DU69" s="1">
        <f t="shared" si="13"/>
        <v>7.3358001916121809E-3</v>
      </c>
    </row>
    <row r="70" spans="1:125" x14ac:dyDescent="0.2">
      <c r="A70">
        <v>19417.406684000001</v>
      </c>
      <c r="B70">
        <v>19273.574041</v>
      </c>
      <c r="C70">
        <v>19561.239325999999</v>
      </c>
      <c r="D70">
        <v>868.38458600000001</v>
      </c>
      <c r="E70" s="1">
        <v>2.8362470000000001E-3</v>
      </c>
      <c r="F70" s="1">
        <v>30197970</v>
      </c>
      <c r="G70" s="1">
        <v>9.0966999999999997E-11</v>
      </c>
      <c r="H70" s="1">
        <v>142317100000</v>
      </c>
      <c r="I70" s="1">
        <v>20333420</v>
      </c>
      <c r="J70" s="1">
        <v>1.2440340000000001E-4</v>
      </c>
      <c r="K70" s="1">
        <v>6.1743819999999998E-5</v>
      </c>
      <c r="L70" s="1">
        <v>1828372000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140859.79999999999</v>
      </c>
      <c r="Y70" s="1">
        <v>489153300</v>
      </c>
      <c r="Z70" s="1">
        <v>0.1055041</v>
      </c>
      <c r="AA70" s="1">
        <v>8.2387080000000008E-3</v>
      </c>
      <c r="AB70" s="1">
        <v>6.1806269999999997E-11</v>
      </c>
      <c r="AC70" s="1">
        <v>3.1625989999999998E-5</v>
      </c>
      <c r="AD70" s="1">
        <v>2.6648839999999999E-20</v>
      </c>
      <c r="AE70" s="1">
        <v>9.7421059999999993E-12</v>
      </c>
      <c r="AF70" s="1">
        <v>4.9091650000000001E-2</v>
      </c>
      <c r="AG70" s="1">
        <v>7.7950629999999998E-12</v>
      </c>
      <c r="AH70" s="1">
        <v>4.2416810000000001E-8</v>
      </c>
      <c r="AI70" s="1">
        <v>8.2334779999999998E-12</v>
      </c>
      <c r="AJ70" s="1">
        <v>1.238687E-15</v>
      </c>
      <c r="AK70" s="1">
        <v>2.482813E-7</v>
      </c>
      <c r="AL70" s="1">
        <v>4.1094680000000001E-9</v>
      </c>
      <c r="AM70" s="1">
        <v>4.7984340000000002E-10</v>
      </c>
      <c r="AN70" s="1">
        <v>2.5395959999999999E-14</v>
      </c>
      <c r="AO70" s="1">
        <v>3.3347899999999998E-22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98540990</v>
      </c>
      <c r="BF70" s="1">
        <v>128794700000</v>
      </c>
      <c r="BG70" s="1">
        <v>3830050</v>
      </c>
      <c r="BH70" s="1">
        <v>0</v>
      </c>
      <c r="BI70" s="1">
        <v>89.624949999999998</v>
      </c>
      <c r="BJ70" s="1">
        <v>0</v>
      </c>
      <c r="BK70" s="1">
        <v>0.68653439999999999</v>
      </c>
      <c r="BL70" s="1">
        <v>7.9535990000000001E-2</v>
      </c>
      <c r="BM70" s="1">
        <v>2.1632400000000001</v>
      </c>
      <c r="BN70" s="1">
        <v>0.81631450000000005</v>
      </c>
      <c r="BO70" s="1">
        <v>1.6105460000000001E-6</v>
      </c>
      <c r="BP70" s="1">
        <v>1.9917180000000001E-11</v>
      </c>
      <c r="BQ70" s="1">
        <v>2.9739110000000002E-4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1.5426839999999999E-23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1.029716E-3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N70" s="1">
        <f t="shared" si="8"/>
        <v>273582368683.33493</v>
      </c>
      <c r="DP70" s="1">
        <f t="shared" si="7"/>
        <v>0.52019836177648071</v>
      </c>
      <c r="DQ70" s="1">
        <f t="shared" si="9"/>
        <v>0.47077119998575928</v>
      </c>
      <c r="DR70" s="1">
        <f t="shared" si="10"/>
        <v>3.8563925192898113E-13</v>
      </c>
      <c r="DS70" s="1">
        <f t="shared" si="11"/>
        <v>1.7879562281521997E-3</v>
      </c>
      <c r="DT70" s="1">
        <f t="shared" si="12"/>
        <v>3.6018764832780159E-4</v>
      </c>
      <c r="DU70" s="1">
        <f t="shared" si="13"/>
        <v>6.683076869314985E-3</v>
      </c>
    </row>
    <row r="71" spans="1:125" x14ac:dyDescent="0.2">
      <c r="A71">
        <v>19705.071968</v>
      </c>
      <c r="B71">
        <v>19561.239325999999</v>
      </c>
      <c r="C71">
        <v>19848.904610000001</v>
      </c>
      <c r="D71">
        <v>868.38458600000001</v>
      </c>
      <c r="E71" s="1">
        <v>1.8463520000000001E-3</v>
      </c>
      <c r="F71" s="1">
        <v>67195040</v>
      </c>
      <c r="G71" s="1">
        <v>6.6186680000000002E-10</v>
      </c>
      <c r="H71" s="1">
        <v>112707200000</v>
      </c>
      <c r="I71" s="1">
        <v>32806490</v>
      </c>
      <c r="J71" s="1">
        <v>3.3593099999999998E-4</v>
      </c>
      <c r="K71" s="1">
        <v>1.2964350000000001E-4</v>
      </c>
      <c r="L71" s="1">
        <v>1083243000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285016.3</v>
      </c>
      <c r="Y71" s="1">
        <v>305052000</v>
      </c>
      <c r="Z71" s="1">
        <v>3.6812379999999999E-2</v>
      </c>
      <c r="AA71" s="1">
        <v>1.1203019999999999E-2</v>
      </c>
      <c r="AB71" s="1">
        <v>3.6855660000000002E-10</v>
      </c>
      <c r="AC71" s="1">
        <v>3.4653300000000002E-5</v>
      </c>
      <c r="AD71" s="1">
        <v>5.683826E-20</v>
      </c>
      <c r="AE71" s="1">
        <v>3.1998719999999997E-11</v>
      </c>
      <c r="AF71" s="1">
        <v>6.3015600000000003E-3</v>
      </c>
      <c r="AG71" s="1">
        <v>7.781992E-13</v>
      </c>
      <c r="AH71" s="1">
        <v>4.4138929999999997E-9</v>
      </c>
      <c r="AI71" s="1">
        <v>6.7861660000000005E-13</v>
      </c>
      <c r="AJ71" s="1">
        <v>1.8456700000000001E-16</v>
      </c>
      <c r="AK71" s="1">
        <v>8.7511769999999996E-8</v>
      </c>
      <c r="AL71" s="1">
        <v>1.006733E-9</v>
      </c>
      <c r="AM71" s="1">
        <v>9.886133E-11</v>
      </c>
      <c r="AN71" s="1">
        <v>6.1447789999999998E-15</v>
      </c>
      <c r="AO71" s="1">
        <v>6.1344469999999994E-23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77334350</v>
      </c>
      <c r="BF71" s="1">
        <v>73882720000</v>
      </c>
      <c r="BG71" s="1">
        <v>15942550</v>
      </c>
      <c r="BH71" s="1">
        <v>0</v>
      </c>
      <c r="BI71" s="1">
        <v>515.89829999999995</v>
      </c>
      <c r="BJ71" s="1">
        <v>0</v>
      </c>
      <c r="BK71" s="1">
        <v>1.006035</v>
      </c>
      <c r="BL71" s="1">
        <v>8.3266300000000001E-2</v>
      </c>
      <c r="BM71" s="1">
        <v>1.0597760000000001</v>
      </c>
      <c r="BN71" s="1">
        <v>0.40316380000000002</v>
      </c>
      <c r="BO71" s="1">
        <v>1.7649560000000001E-6</v>
      </c>
      <c r="BP71" s="1">
        <v>7.5969999999999997E-11</v>
      </c>
      <c r="BQ71" s="1">
        <v>3.9574779999999998E-5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9.2095260000000002E-23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7.2854440000000005E-4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N71" s="1">
        <f t="shared" si="8"/>
        <v>188171778964.80609</v>
      </c>
      <c r="DP71" s="1">
        <f t="shared" si="7"/>
        <v>0.59895910332590152</v>
      </c>
      <c r="DQ71" s="1">
        <f t="shared" si="9"/>
        <v>0.3926344343793356</v>
      </c>
      <c r="DR71" s="1">
        <f t="shared" si="10"/>
        <v>1.9563177965642258E-13</v>
      </c>
      <c r="DS71" s="1">
        <f t="shared" si="11"/>
        <v>1.6211357605172777E-3</v>
      </c>
      <c r="DT71" s="1">
        <f t="shared" si="12"/>
        <v>4.1097740811848251E-4</v>
      </c>
      <c r="DU71" s="1">
        <f t="shared" si="13"/>
        <v>5.7566708778503907E-3</v>
      </c>
    </row>
    <row r="72" spans="1:125" x14ac:dyDescent="0.2">
      <c r="A72">
        <v>19992.737251999999</v>
      </c>
      <c r="B72">
        <v>19848.904610000001</v>
      </c>
      <c r="C72">
        <v>20136.569894</v>
      </c>
      <c r="D72">
        <v>868.38458600000001</v>
      </c>
      <c r="E72" s="1">
        <v>1.201946E-3</v>
      </c>
      <c r="F72" s="1">
        <v>107331300</v>
      </c>
      <c r="G72" s="1">
        <v>2.168353E-9</v>
      </c>
      <c r="H72" s="1">
        <v>82385810000</v>
      </c>
      <c r="I72" s="1">
        <v>43182610</v>
      </c>
      <c r="J72" s="1">
        <v>5.408864E-4</v>
      </c>
      <c r="K72" s="1">
        <v>1.935753E-4</v>
      </c>
      <c r="L72" s="1">
        <v>561183400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1501394</v>
      </c>
      <c r="Y72" s="1">
        <v>195816300</v>
      </c>
      <c r="Z72" s="1">
        <v>4.1077710000000003E-2</v>
      </c>
      <c r="AA72" s="1">
        <v>3.5582339999999997E-2</v>
      </c>
      <c r="AB72" s="1">
        <v>5.5330209999999999E-9</v>
      </c>
      <c r="AC72" s="1">
        <v>1.045214E-4</v>
      </c>
      <c r="AD72" s="1">
        <v>2.8634620000000001E-19</v>
      </c>
      <c r="AE72" s="1">
        <v>9.5888380000000008E-10</v>
      </c>
      <c r="AF72" s="1">
        <v>6.4648479999999996E-4</v>
      </c>
      <c r="AG72" s="1">
        <v>4.7440760000000002E-13</v>
      </c>
      <c r="AH72" s="1">
        <v>5.5608849999999999E-9</v>
      </c>
      <c r="AI72" s="1">
        <v>6.2504809999999996E-13</v>
      </c>
      <c r="AJ72" s="1">
        <v>2.627425E-16</v>
      </c>
      <c r="AK72" s="1">
        <v>1.9427920000000001E-8</v>
      </c>
      <c r="AL72" s="1">
        <v>1.7503980000000001E-10</v>
      </c>
      <c r="AM72" s="1">
        <v>1.373873E-11</v>
      </c>
      <c r="AN72" s="1">
        <v>4.2706259999999997E-15</v>
      </c>
      <c r="AO72" s="1">
        <v>8.7034919999999996E-23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51795330</v>
      </c>
      <c r="BF72" s="1">
        <v>43701120000</v>
      </c>
      <c r="BG72" s="1">
        <v>39597520</v>
      </c>
      <c r="BH72" s="1">
        <v>0</v>
      </c>
      <c r="BI72" s="1">
        <v>2603.9290000000001</v>
      </c>
      <c r="BJ72" s="1">
        <v>0</v>
      </c>
      <c r="BK72" s="1">
        <v>4.287064</v>
      </c>
      <c r="BL72" s="1">
        <v>0.28376980000000002</v>
      </c>
      <c r="BM72" s="1">
        <v>1.568516</v>
      </c>
      <c r="BN72" s="1">
        <v>0.18917249999999999</v>
      </c>
      <c r="BO72" s="1">
        <v>5.3281410000000004E-6</v>
      </c>
      <c r="BP72" s="1">
        <v>6.1918169999999995E-10</v>
      </c>
      <c r="BQ72" s="1">
        <v>4.2645289999999997E-6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1.38389E-21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1.434666E-3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N72" s="1">
        <f t="shared" si="8"/>
        <v>127087340464.3371</v>
      </c>
      <c r="DP72" s="1">
        <f t="shared" si="7"/>
        <v>0.64826134293933768</v>
      </c>
      <c r="DQ72" s="1">
        <f t="shared" si="9"/>
        <v>0.34386682292925386</v>
      </c>
      <c r="DR72" s="1">
        <f t="shared" si="10"/>
        <v>3.2322424759157751E-13</v>
      </c>
      <c r="DS72" s="1">
        <f t="shared" si="11"/>
        <v>1.5408009899691734E-3</v>
      </c>
      <c r="DT72" s="1">
        <f t="shared" si="12"/>
        <v>4.0755695894458238E-4</v>
      </c>
      <c r="DU72" s="1">
        <f t="shared" si="13"/>
        <v>4.4157301423541689E-3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2022-08-23T18:52:55Z</dcterms:created>
  <dcterms:modified xsi:type="dcterms:W3CDTF">2022-08-24T04:27:55Z</dcterms:modified>
</cp:coreProperties>
</file>