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EPACRIS/Code/Result/Checking/"/>
    </mc:Choice>
  </mc:AlternateContent>
  <xr:revisionPtr revIDLastSave="0" documentId="13_ncr:1_{2C58A063-36AF-E845-8FC6-25E22F47BD55}" xr6:coauthVersionLast="47" xr6:coauthVersionMax="47" xr10:uidLastSave="{00000000-0000-0000-0000-000000000000}"/>
  <bookViews>
    <workbookView xWindow="1200" yWindow="500" windowWidth="31600" windowHeight="18140" xr2:uid="{B80E2D07-42A1-A84B-8A3A-094E170C89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T4" i="1" l="1"/>
  <c r="DT5" i="1"/>
  <c r="DT6" i="1"/>
  <c r="DT7" i="1"/>
  <c r="DT8" i="1"/>
  <c r="DT9" i="1"/>
  <c r="DT10" i="1"/>
  <c r="DT11" i="1"/>
  <c r="DT12" i="1"/>
  <c r="DT13" i="1"/>
  <c r="DT14" i="1"/>
  <c r="DT15" i="1"/>
  <c r="DT16" i="1"/>
  <c r="DT17" i="1"/>
  <c r="DT18" i="1"/>
  <c r="DT19" i="1"/>
  <c r="DT20" i="1"/>
  <c r="DT21" i="1"/>
  <c r="DT22" i="1"/>
  <c r="DT23" i="1"/>
  <c r="DT24" i="1"/>
  <c r="DT25" i="1"/>
  <c r="DT26" i="1"/>
  <c r="DT27" i="1"/>
  <c r="DT28" i="1"/>
  <c r="DT29" i="1"/>
  <c r="DT30" i="1"/>
  <c r="DT31" i="1"/>
  <c r="DT32" i="1"/>
  <c r="DT33" i="1"/>
  <c r="DT34" i="1"/>
  <c r="DT35" i="1"/>
  <c r="DT36" i="1"/>
  <c r="DT37" i="1"/>
  <c r="DT38" i="1"/>
  <c r="DT39" i="1"/>
  <c r="DT40" i="1"/>
  <c r="DT41" i="1"/>
  <c r="DT42" i="1"/>
  <c r="DT43" i="1"/>
  <c r="DT44" i="1"/>
  <c r="DT45" i="1"/>
  <c r="DT46" i="1"/>
  <c r="DT47" i="1"/>
  <c r="DT48" i="1"/>
  <c r="DT49" i="1"/>
  <c r="DT50" i="1"/>
  <c r="DT51" i="1"/>
  <c r="DT52" i="1"/>
  <c r="DT53" i="1"/>
  <c r="DT54" i="1"/>
  <c r="DT55" i="1"/>
  <c r="DT56" i="1"/>
  <c r="DT57" i="1"/>
  <c r="DT58" i="1"/>
  <c r="DT59" i="1"/>
  <c r="DT60" i="1"/>
  <c r="DT61" i="1"/>
  <c r="DT62" i="1"/>
  <c r="DT63" i="1"/>
  <c r="DT64" i="1"/>
  <c r="DT65" i="1"/>
  <c r="DT66" i="1"/>
  <c r="DT67" i="1"/>
  <c r="DT68" i="1"/>
  <c r="DT69" i="1"/>
  <c r="DT70" i="1"/>
  <c r="DT71" i="1"/>
  <c r="DT72" i="1"/>
  <c r="DT3" i="1"/>
  <c r="DS4" i="1"/>
  <c r="DS5" i="1"/>
  <c r="DS6" i="1"/>
  <c r="DS7" i="1"/>
  <c r="DS8" i="1"/>
  <c r="DS9" i="1"/>
  <c r="DS10" i="1"/>
  <c r="DS11" i="1"/>
  <c r="DS12" i="1"/>
  <c r="DS13" i="1"/>
  <c r="DS14" i="1"/>
  <c r="DS15" i="1"/>
  <c r="DS16" i="1"/>
  <c r="DS17" i="1"/>
  <c r="DS18" i="1"/>
  <c r="DS19" i="1"/>
  <c r="DS20" i="1"/>
  <c r="DS21" i="1"/>
  <c r="DS22" i="1"/>
  <c r="DS23" i="1"/>
  <c r="DS24" i="1"/>
  <c r="DS25" i="1"/>
  <c r="DS26" i="1"/>
  <c r="DS27" i="1"/>
  <c r="DS28" i="1"/>
  <c r="DS29" i="1"/>
  <c r="DS30" i="1"/>
  <c r="DS31" i="1"/>
  <c r="DS32" i="1"/>
  <c r="DS33" i="1"/>
  <c r="DS34" i="1"/>
  <c r="DS35" i="1"/>
  <c r="DS36" i="1"/>
  <c r="DS37" i="1"/>
  <c r="DS38" i="1"/>
  <c r="DS39" i="1"/>
  <c r="DS40" i="1"/>
  <c r="DS41" i="1"/>
  <c r="DS42" i="1"/>
  <c r="DS43" i="1"/>
  <c r="DS44" i="1"/>
  <c r="DS45" i="1"/>
  <c r="DS46" i="1"/>
  <c r="DS47" i="1"/>
  <c r="DS48" i="1"/>
  <c r="DS49" i="1"/>
  <c r="DS50" i="1"/>
  <c r="DS51" i="1"/>
  <c r="DS52" i="1"/>
  <c r="DS53" i="1"/>
  <c r="DS54" i="1"/>
  <c r="DS55" i="1"/>
  <c r="DS56" i="1"/>
  <c r="DS57" i="1"/>
  <c r="DS58" i="1"/>
  <c r="DS59" i="1"/>
  <c r="DS60" i="1"/>
  <c r="DS61" i="1"/>
  <c r="DS62" i="1"/>
  <c r="DS63" i="1"/>
  <c r="DS64" i="1"/>
  <c r="DS65" i="1"/>
  <c r="DS66" i="1"/>
  <c r="DS67" i="1"/>
  <c r="DS68" i="1"/>
  <c r="DS69" i="1"/>
  <c r="DS70" i="1"/>
  <c r="DS71" i="1"/>
  <c r="DS72" i="1"/>
  <c r="DS3" i="1"/>
  <c r="DR4" i="1"/>
  <c r="DR5" i="1"/>
  <c r="DR6" i="1"/>
  <c r="DR7" i="1"/>
  <c r="DR8" i="1"/>
  <c r="DR9" i="1"/>
  <c r="DR10" i="1"/>
  <c r="DR11" i="1"/>
  <c r="DR12" i="1"/>
  <c r="DR13" i="1"/>
  <c r="DR14" i="1"/>
  <c r="DR15" i="1"/>
  <c r="DR16" i="1"/>
  <c r="DR17" i="1"/>
  <c r="DR18" i="1"/>
  <c r="DR19" i="1"/>
  <c r="DR20" i="1"/>
  <c r="DR21" i="1"/>
  <c r="DR22" i="1"/>
  <c r="DR23" i="1"/>
  <c r="DR24" i="1"/>
  <c r="DR25" i="1"/>
  <c r="DR26" i="1"/>
  <c r="DR27" i="1"/>
  <c r="DR28" i="1"/>
  <c r="DR29" i="1"/>
  <c r="DR30" i="1"/>
  <c r="DR31" i="1"/>
  <c r="DR32" i="1"/>
  <c r="DR33" i="1"/>
  <c r="DR34" i="1"/>
  <c r="DR35" i="1"/>
  <c r="DR36" i="1"/>
  <c r="DR37" i="1"/>
  <c r="DR38" i="1"/>
  <c r="DR39" i="1"/>
  <c r="DR40" i="1"/>
  <c r="DR41" i="1"/>
  <c r="DR42" i="1"/>
  <c r="DR43" i="1"/>
  <c r="DR44" i="1"/>
  <c r="DR45" i="1"/>
  <c r="DR46" i="1"/>
  <c r="DR47" i="1"/>
  <c r="DR48" i="1"/>
  <c r="DR49" i="1"/>
  <c r="DR50" i="1"/>
  <c r="DR51" i="1"/>
  <c r="DR52" i="1"/>
  <c r="DR53" i="1"/>
  <c r="DR54" i="1"/>
  <c r="DR55" i="1"/>
  <c r="DR56" i="1"/>
  <c r="DR57" i="1"/>
  <c r="DR58" i="1"/>
  <c r="DR59" i="1"/>
  <c r="DR60" i="1"/>
  <c r="DR61" i="1"/>
  <c r="DR62" i="1"/>
  <c r="DR63" i="1"/>
  <c r="DR64" i="1"/>
  <c r="DR65" i="1"/>
  <c r="DR66" i="1"/>
  <c r="DR67" i="1"/>
  <c r="DR68" i="1"/>
  <c r="DR69" i="1"/>
  <c r="DR70" i="1"/>
  <c r="DR71" i="1"/>
  <c r="DR72" i="1"/>
  <c r="DR3" i="1"/>
  <c r="DQ62" i="1"/>
  <c r="DQ63" i="1"/>
  <c r="DQ64" i="1"/>
  <c r="DQ65" i="1"/>
  <c r="DQ66" i="1"/>
  <c r="DQ67" i="1"/>
  <c r="DQ68" i="1"/>
  <c r="DQ69" i="1"/>
  <c r="DQ70" i="1"/>
  <c r="DQ71" i="1"/>
  <c r="DQ72" i="1"/>
  <c r="DP62" i="1"/>
  <c r="DP63" i="1"/>
  <c r="DP64" i="1"/>
  <c r="DP65" i="1"/>
  <c r="DP66" i="1"/>
  <c r="DP67" i="1"/>
  <c r="DP68" i="1"/>
  <c r="DP69" i="1"/>
  <c r="DP70" i="1"/>
  <c r="DP71" i="1"/>
  <c r="DP72" i="1"/>
  <c r="DN63" i="1"/>
  <c r="DN64" i="1"/>
  <c r="DN65" i="1"/>
  <c r="DN66" i="1"/>
  <c r="DN67" i="1"/>
  <c r="DN68" i="1"/>
  <c r="DN69" i="1"/>
  <c r="DN70" i="1"/>
  <c r="DN71" i="1"/>
  <c r="DN72" i="1"/>
  <c r="DN4" i="1"/>
  <c r="DQ4" i="1" s="1"/>
  <c r="DN5" i="1"/>
  <c r="DQ5" i="1" s="1"/>
  <c r="DN6" i="1"/>
  <c r="DQ6" i="1" s="1"/>
  <c r="DN7" i="1"/>
  <c r="DQ7" i="1" s="1"/>
  <c r="DN8" i="1"/>
  <c r="DQ8" i="1" s="1"/>
  <c r="DN9" i="1"/>
  <c r="DQ9" i="1" s="1"/>
  <c r="DN10" i="1"/>
  <c r="DQ10" i="1" s="1"/>
  <c r="DN11" i="1"/>
  <c r="DQ11" i="1" s="1"/>
  <c r="DN12" i="1"/>
  <c r="DQ12" i="1" s="1"/>
  <c r="DN13" i="1"/>
  <c r="DQ13" i="1" s="1"/>
  <c r="DN14" i="1"/>
  <c r="DQ14" i="1" s="1"/>
  <c r="DN15" i="1"/>
  <c r="DQ15" i="1" s="1"/>
  <c r="DN16" i="1"/>
  <c r="DQ16" i="1" s="1"/>
  <c r="DN17" i="1"/>
  <c r="DQ17" i="1" s="1"/>
  <c r="DN18" i="1"/>
  <c r="DQ18" i="1" s="1"/>
  <c r="DN19" i="1"/>
  <c r="DQ19" i="1" s="1"/>
  <c r="DN20" i="1"/>
  <c r="DQ20" i="1" s="1"/>
  <c r="DN21" i="1"/>
  <c r="DQ21" i="1" s="1"/>
  <c r="DN22" i="1"/>
  <c r="DQ22" i="1" s="1"/>
  <c r="DN23" i="1"/>
  <c r="DQ23" i="1" s="1"/>
  <c r="DN24" i="1"/>
  <c r="DQ24" i="1" s="1"/>
  <c r="DN25" i="1"/>
  <c r="DQ25" i="1" s="1"/>
  <c r="DN26" i="1"/>
  <c r="DQ26" i="1" s="1"/>
  <c r="DN27" i="1"/>
  <c r="DQ27" i="1" s="1"/>
  <c r="DN28" i="1"/>
  <c r="DQ28" i="1" s="1"/>
  <c r="DN29" i="1"/>
  <c r="DQ29" i="1" s="1"/>
  <c r="DN30" i="1"/>
  <c r="DQ30" i="1" s="1"/>
  <c r="DN31" i="1"/>
  <c r="DQ31" i="1" s="1"/>
  <c r="DN32" i="1"/>
  <c r="DQ32" i="1" s="1"/>
  <c r="DN33" i="1"/>
  <c r="DQ33" i="1" s="1"/>
  <c r="DN34" i="1"/>
  <c r="DQ34" i="1" s="1"/>
  <c r="DN35" i="1"/>
  <c r="DQ35" i="1" s="1"/>
  <c r="DN36" i="1"/>
  <c r="DQ36" i="1" s="1"/>
  <c r="DN37" i="1"/>
  <c r="DQ37" i="1" s="1"/>
  <c r="DN38" i="1"/>
  <c r="DQ38" i="1" s="1"/>
  <c r="DN39" i="1"/>
  <c r="DQ39" i="1" s="1"/>
  <c r="DN40" i="1"/>
  <c r="DQ40" i="1" s="1"/>
  <c r="DN41" i="1"/>
  <c r="DQ41" i="1" s="1"/>
  <c r="DN42" i="1"/>
  <c r="DQ42" i="1" s="1"/>
  <c r="DN43" i="1"/>
  <c r="DQ43" i="1" s="1"/>
  <c r="DN44" i="1"/>
  <c r="DQ44" i="1" s="1"/>
  <c r="DN45" i="1"/>
  <c r="DQ45" i="1" s="1"/>
  <c r="DN46" i="1"/>
  <c r="DQ46" i="1" s="1"/>
  <c r="DN47" i="1"/>
  <c r="DQ47" i="1" s="1"/>
  <c r="DN48" i="1"/>
  <c r="DQ48" i="1" s="1"/>
  <c r="DN49" i="1"/>
  <c r="DQ49" i="1" s="1"/>
  <c r="DN50" i="1"/>
  <c r="DQ50" i="1" s="1"/>
  <c r="DN51" i="1"/>
  <c r="DQ51" i="1" s="1"/>
  <c r="DN52" i="1"/>
  <c r="DQ52" i="1" s="1"/>
  <c r="DN53" i="1"/>
  <c r="DQ53" i="1" s="1"/>
  <c r="DN54" i="1"/>
  <c r="DQ54" i="1" s="1"/>
  <c r="DN55" i="1"/>
  <c r="DQ55" i="1" s="1"/>
  <c r="DN56" i="1"/>
  <c r="DQ56" i="1" s="1"/>
  <c r="DN57" i="1"/>
  <c r="DQ57" i="1" s="1"/>
  <c r="DN58" i="1"/>
  <c r="DQ58" i="1" s="1"/>
  <c r="DN59" i="1"/>
  <c r="DQ59" i="1" s="1"/>
  <c r="DN60" i="1"/>
  <c r="DQ60" i="1" s="1"/>
  <c r="DN61" i="1"/>
  <c r="DQ61" i="1" s="1"/>
  <c r="DN62" i="1"/>
  <c r="DN3" i="1"/>
  <c r="DQ3" i="1" s="1"/>
  <c r="DP3" i="1" l="1"/>
  <c r="DP51" i="1"/>
  <c r="DP39" i="1"/>
  <c r="DP27" i="1"/>
  <c r="DP15" i="1"/>
  <c r="DP50" i="1"/>
  <c r="DP38" i="1"/>
  <c r="DP26" i="1"/>
  <c r="DP14" i="1"/>
  <c r="DP61" i="1"/>
  <c r="DP49" i="1"/>
  <c r="DP37" i="1"/>
  <c r="DP25" i="1"/>
  <c r="DP13" i="1"/>
  <c r="DP60" i="1"/>
  <c r="DP48" i="1"/>
  <c r="DP36" i="1"/>
  <c r="DP24" i="1"/>
  <c r="DP12" i="1"/>
  <c r="DP59" i="1"/>
  <c r="DP47" i="1"/>
  <c r="DP35" i="1"/>
  <c r="DP23" i="1"/>
  <c r="DP11" i="1"/>
  <c r="DP58" i="1"/>
  <c r="DP46" i="1"/>
  <c r="DP34" i="1"/>
  <c r="DP22" i="1"/>
  <c r="DP10" i="1"/>
  <c r="DP57" i="1"/>
  <c r="DP45" i="1"/>
  <c r="DP33" i="1"/>
  <c r="DP21" i="1"/>
  <c r="DP9" i="1"/>
  <c r="DP56" i="1"/>
  <c r="DP44" i="1"/>
  <c r="DP32" i="1"/>
  <c r="DP20" i="1"/>
  <c r="DP8" i="1"/>
  <c r="DP55" i="1"/>
  <c r="DP43" i="1"/>
  <c r="DP31" i="1"/>
  <c r="DP19" i="1"/>
  <c r="DP7" i="1"/>
  <c r="DP54" i="1"/>
  <c r="DP42" i="1"/>
  <c r="DP30" i="1"/>
  <c r="DP18" i="1"/>
  <c r="DP6" i="1"/>
  <c r="DP53" i="1"/>
  <c r="DP41" i="1"/>
  <c r="DP29" i="1"/>
  <c r="DP17" i="1"/>
  <c r="DP5" i="1"/>
  <c r="DP52" i="1"/>
  <c r="DP40" i="1"/>
  <c r="DP28" i="1"/>
  <c r="DP16" i="1"/>
  <c r="DP4" i="1"/>
</calcChain>
</file>

<file path=xl/sharedStrings.xml><?xml version="1.0" encoding="utf-8"?>
<sst xmlns="http://schemas.openxmlformats.org/spreadsheetml/2006/main" count="15" uniqueCount="13">
  <si>
    <t>z</t>
  </si>
  <si>
    <t>z0</t>
  </si>
  <si>
    <t>z1</t>
  </si>
  <si>
    <t>T</t>
  </si>
  <si>
    <t>P</t>
  </si>
  <si>
    <t>km</t>
  </si>
  <si>
    <t>K</t>
  </si>
  <si>
    <t>Pa</t>
  </si>
  <si>
    <t>H</t>
  </si>
  <si>
    <t>H2</t>
  </si>
  <si>
    <t>CH4</t>
  </si>
  <si>
    <t>CO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</si>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</sst>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Sheet1!$D$3:$D$72</c:f>
              <c:numCache>
                <c:formatCode>General</c:formatCode>
                <c:ptCount val="70"/>
                <c:pt idx="0">
                  <c:v>1788.8793519999999</c:v>
                </c:pt>
                <c:pt idx="1">
                  <c:v>1751.177966</c:v>
                </c:pt>
                <c:pt idx="2">
                  <c:v>1720.546237</c:v>
                </c:pt>
                <c:pt idx="3">
                  <c:v>1696.020951</c:v>
                </c:pt>
                <c:pt idx="4">
                  <c:v>1676.4755190000001</c:v>
                </c:pt>
                <c:pt idx="5">
                  <c:v>1661.1441560000001</c:v>
                </c:pt>
                <c:pt idx="6">
                  <c:v>1649.3484229999999</c:v>
                </c:pt>
                <c:pt idx="7">
                  <c:v>1640.427682</c:v>
                </c:pt>
                <c:pt idx="8">
                  <c:v>1633.7613389999999</c:v>
                </c:pt>
                <c:pt idx="9">
                  <c:v>1628.8227919999999</c:v>
                </c:pt>
                <c:pt idx="10">
                  <c:v>1625.1842630000001</c:v>
                </c:pt>
                <c:pt idx="11">
                  <c:v>1622.5054070000001</c:v>
                </c:pt>
                <c:pt idx="12">
                  <c:v>1620.5312200000001</c:v>
                </c:pt>
                <c:pt idx="13">
                  <c:v>1619.0772999999999</c:v>
                </c:pt>
                <c:pt idx="14">
                  <c:v>1617.993371</c:v>
                </c:pt>
                <c:pt idx="15">
                  <c:v>1617.062782</c:v>
                </c:pt>
                <c:pt idx="16">
                  <c:v>1615.742146</c:v>
                </c:pt>
                <c:pt idx="17">
                  <c:v>1612.8117440000001</c:v>
                </c:pt>
                <c:pt idx="18">
                  <c:v>1606.3933360000001</c:v>
                </c:pt>
                <c:pt idx="19">
                  <c:v>1594.696054</c:v>
                </c:pt>
                <c:pt idx="20">
                  <c:v>1576.878708</c:v>
                </c:pt>
                <c:pt idx="21">
                  <c:v>1553.292031</c:v>
                </c:pt>
                <c:pt idx="22">
                  <c:v>1525.512561</c:v>
                </c:pt>
                <c:pt idx="23">
                  <c:v>1495.964749</c:v>
                </c:pt>
                <c:pt idx="24">
                  <c:v>1466.7448509999999</c:v>
                </c:pt>
                <c:pt idx="25">
                  <c:v>1438.813768</c:v>
                </c:pt>
                <c:pt idx="26">
                  <c:v>1412.160106</c:v>
                </c:pt>
                <c:pt idx="27">
                  <c:v>1386.439433</c:v>
                </c:pt>
                <c:pt idx="28">
                  <c:v>1361.554304</c:v>
                </c:pt>
                <c:pt idx="29">
                  <c:v>1337.681832</c:v>
                </c:pt>
                <c:pt idx="30">
                  <c:v>1314.1206870000001</c:v>
                </c:pt>
                <c:pt idx="31">
                  <c:v>1289.2691159999999</c:v>
                </c:pt>
                <c:pt idx="32">
                  <c:v>1261.9015469999999</c:v>
                </c:pt>
                <c:pt idx="33">
                  <c:v>1231.622398</c:v>
                </c:pt>
                <c:pt idx="34">
                  <c:v>1198.5010010000001</c:v>
                </c:pt>
                <c:pt idx="35">
                  <c:v>1163.5045190000001</c:v>
                </c:pt>
                <c:pt idx="36">
                  <c:v>1128.5085300000001</c:v>
                </c:pt>
                <c:pt idx="37">
                  <c:v>1094.6801499999999</c:v>
                </c:pt>
                <c:pt idx="38">
                  <c:v>1062.400371</c:v>
                </c:pt>
                <c:pt idx="39">
                  <c:v>1032.766165</c:v>
                </c:pt>
                <c:pt idx="40">
                  <c:v>1006.304603</c:v>
                </c:pt>
                <c:pt idx="41">
                  <c:v>982.17872799999998</c:v>
                </c:pt>
                <c:pt idx="42">
                  <c:v>960.567767</c:v>
                </c:pt>
                <c:pt idx="43">
                  <c:v>941.43831699999998</c:v>
                </c:pt>
                <c:pt idx="44">
                  <c:v>923.78513799999996</c:v>
                </c:pt>
                <c:pt idx="45">
                  <c:v>907.48577799999998</c:v>
                </c:pt>
                <c:pt idx="46">
                  <c:v>892.78329199999996</c:v>
                </c:pt>
                <c:pt idx="47">
                  <c:v>880.01898700000004</c:v>
                </c:pt>
                <c:pt idx="48">
                  <c:v>869.386796</c:v>
                </c:pt>
                <c:pt idx="49">
                  <c:v>860.40379700000005</c:v>
                </c:pt>
                <c:pt idx="50">
                  <c:v>852.45917999999995</c:v>
                </c:pt>
                <c:pt idx="51">
                  <c:v>845.202631</c:v>
                </c:pt>
                <c:pt idx="52">
                  <c:v>838.73004900000001</c:v>
                </c:pt>
                <c:pt idx="53">
                  <c:v>833.43310599999995</c:v>
                </c:pt>
                <c:pt idx="54">
                  <c:v>829.58871699999997</c:v>
                </c:pt>
                <c:pt idx="55">
                  <c:v>827.72514699999999</c:v>
                </c:pt>
                <c:pt idx="56">
                  <c:v>829.04970100000003</c:v>
                </c:pt>
                <c:pt idx="57">
                  <c:v>834.92594899999995</c:v>
                </c:pt>
                <c:pt idx="58">
                  <c:v>850.27494300000001</c:v>
                </c:pt>
                <c:pt idx="59">
                  <c:v>864.88635199999999</c:v>
                </c:pt>
                <c:pt idx="60">
                  <c:v>868.38458600000001</c:v>
                </c:pt>
                <c:pt idx="61">
                  <c:v>868.38458600000001</c:v>
                </c:pt>
                <c:pt idx="62">
                  <c:v>868.38458600000001</c:v>
                </c:pt>
                <c:pt idx="63">
                  <c:v>868.38458600000001</c:v>
                </c:pt>
                <c:pt idx="64">
                  <c:v>868.38458600000001</c:v>
                </c:pt>
                <c:pt idx="65">
                  <c:v>868.38458600000001</c:v>
                </c:pt>
                <c:pt idx="66">
                  <c:v>868.38458600000001</c:v>
                </c:pt>
                <c:pt idx="67">
                  <c:v>868.38458600000001</c:v>
                </c:pt>
                <c:pt idx="68">
                  <c:v>868.38458600000001</c:v>
                </c:pt>
                <c:pt idx="69">
                  <c:v>868.38458600000001</c:v>
                </c:pt>
              </c:numCache>
            </c:numRef>
          </c:xVal>
          <c:yVal>
            <c:numRef>
              <c:f>Sheet1!$E$3:$E$72</c:f>
              <c:numCache>
                <c:formatCode>0.00E+00</c:formatCode>
                <c:ptCount val="70"/>
                <c:pt idx="0">
                  <c:v>9011789</c:v>
                </c:pt>
                <c:pt idx="1">
                  <c:v>7301843</c:v>
                </c:pt>
                <c:pt idx="2">
                  <c:v>5890654</c:v>
                </c:pt>
                <c:pt idx="3">
                  <c:v>4735213</c:v>
                </c:pt>
                <c:pt idx="4">
                  <c:v>3795797</c:v>
                </c:pt>
                <c:pt idx="5">
                  <c:v>3035830</c:v>
                </c:pt>
                <c:pt idx="6">
                  <c:v>2423617</c:v>
                </c:pt>
                <c:pt idx="7">
                  <c:v>1932142</c:v>
                </c:pt>
                <c:pt idx="8">
                  <c:v>1538677</c:v>
                </c:pt>
                <c:pt idx="9">
                  <c:v>1224348</c:v>
                </c:pt>
                <c:pt idx="10">
                  <c:v>973646.9</c:v>
                </c:pt>
                <c:pt idx="11">
                  <c:v>773935</c:v>
                </c:pt>
                <c:pt idx="12">
                  <c:v>614985.69999999995</c:v>
                </c:pt>
                <c:pt idx="13">
                  <c:v>488561.8</c:v>
                </c:pt>
                <c:pt idx="14">
                  <c:v>388057</c:v>
                </c:pt>
                <c:pt idx="15">
                  <c:v>308183.59999999998</c:v>
                </c:pt>
                <c:pt idx="16">
                  <c:v>244711</c:v>
                </c:pt>
                <c:pt idx="17">
                  <c:v>194251.8</c:v>
                </c:pt>
                <c:pt idx="18">
                  <c:v>154093.70000000001</c:v>
                </c:pt>
                <c:pt idx="19">
                  <c:v>122077.6</c:v>
                </c:pt>
                <c:pt idx="20">
                  <c:v>96503.71</c:v>
                </c:pt>
                <c:pt idx="21">
                  <c:v>76049.52</c:v>
                </c:pt>
                <c:pt idx="22">
                  <c:v>59691.91</c:v>
                </c:pt>
                <c:pt idx="23">
                  <c:v>46637.2</c:v>
                </c:pt>
                <c:pt idx="24">
                  <c:v>36259.56</c:v>
                </c:pt>
                <c:pt idx="25">
                  <c:v>28052.43</c:v>
                </c:pt>
                <c:pt idx="26">
                  <c:v>21597.45</c:v>
                </c:pt>
                <c:pt idx="27">
                  <c:v>16547.64</c:v>
                </c:pt>
                <c:pt idx="28">
                  <c:v>12617.58</c:v>
                </c:pt>
                <c:pt idx="29">
                  <c:v>9572.393</c:v>
                </c:pt>
                <c:pt idx="30">
                  <c:v>7224.9359999999997</c:v>
                </c:pt>
                <c:pt idx="31">
                  <c:v>5425.1589999999997</c:v>
                </c:pt>
                <c:pt idx="32">
                  <c:v>4050.69</c:v>
                </c:pt>
                <c:pt idx="33">
                  <c:v>3004.3009999999999</c:v>
                </c:pt>
                <c:pt idx="34">
                  <c:v>2210.1840000000002</c:v>
                </c:pt>
                <c:pt idx="35">
                  <c:v>1611.6289999999999</c:v>
                </c:pt>
                <c:pt idx="36">
                  <c:v>1164.18</c:v>
                </c:pt>
                <c:pt idx="37">
                  <c:v>832.34519999999998</c:v>
                </c:pt>
                <c:pt idx="38">
                  <c:v>589.08500000000004</c:v>
                </c:pt>
                <c:pt idx="39">
                  <c:v>412.65679999999998</c:v>
                </c:pt>
                <c:pt idx="40">
                  <c:v>286.22559999999999</c:v>
                </c:pt>
                <c:pt idx="41">
                  <c:v>196.7225</c:v>
                </c:pt>
                <c:pt idx="42">
                  <c:v>133.99959999999999</c:v>
                </c:pt>
                <c:pt idx="43">
                  <c:v>90.544280000000001</c:v>
                </c:pt>
                <c:pt idx="44">
                  <c:v>60.710320000000003</c:v>
                </c:pt>
                <c:pt idx="45">
                  <c:v>40.39931</c:v>
                </c:pt>
                <c:pt idx="46">
                  <c:v>26.697859999999999</c:v>
                </c:pt>
                <c:pt idx="47">
                  <c:v>17.532219999999999</c:v>
                </c:pt>
                <c:pt idx="48">
                  <c:v>11.44833</c:v>
                </c:pt>
                <c:pt idx="49">
                  <c:v>7.4390590000000003</c:v>
                </c:pt>
                <c:pt idx="50">
                  <c:v>4.8134059999999996</c:v>
                </c:pt>
                <c:pt idx="51">
                  <c:v>3.1024910000000001</c:v>
                </c:pt>
                <c:pt idx="52">
                  <c:v>1.9925930000000001</c:v>
                </c:pt>
                <c:pt idx="53">
                  <c:v>1.2757700000000001</c:v>
                </c:pt>
                <c:pt idx="54">
                  <c:v>0.81481590000000004</c:v>
                </c:pt>
                <c:pt idx="55">
                  <c:v>0.51959029999999995</c:v>
                </c:pt>
                <c:pt idx="56">
                  <c:v>0.33126840000000002</c:v>
                </c:pt>
                <c:pt idx="57">
                  <c:v>0.21160670000000001</c:v>
                </c:pt>
                <c:pt idx="58">
                  <c:v>0.1358866</c:v>
                </c:pt>
                <c:pt idx="59">
                  <c:v>8.7980619999999995E-2</c:v>
                </c:pt>
                <c:pt idx="60">
                  <c:v>5.7246709999999999E-2</c:v>
                </c:pt>
                <c:pt idx="61">
                  <c:v>3.7266710000000002E-2</c:v>
                </c:pt>
                <c:pt idx="62">
                  <c:v>2.426004E-2</c:v>
                </c:pt>
                <c:pt idx="63">
                  <c:v>1.5792899999999999E-2</c:v>
                </c:pt>
                <c:pt idx="64">
                  <c:v>1.0280930000000001E-2</c:v>
                </c:pt>
                <c:pt idx="65">
                  <c:v>6.6927250000000001E-3</c:v>
                </c:pt>
                <c:pt idx="66">
                  <c:v>4.3568590000000003E-3</c:v>
                </c:pt>
                <c:pt idx="67">
                  <c:v>2.8362470000000001E-3</c:v>
                </c:pt>
                <c:pt idx="68">
                  <c:v>1.8463520000000001E-3</c:v>
                </c:pt>
                <c:pt idx="69">
                  <c:v>1.201946E-3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C9-BB45-B07B-B17BB3254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748992"/>
        <c:axId val="1226861328"/>
      </c:scatterChart>
      <c:valAx>
        <c:axId val="12147489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861328"/>
        <c:crosses val="autoZero"/>
        <c:crossBetween val="midCat"/>
      </c:valAx>
      <c:valAx>
        <c:axId val="1226861328"/>
        <c:scaling>
          <c:logBase val="10"/>
          <c:orientation val="maxMin"/>
          <c:min val="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74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Sheet1!$DP$3:$DP$72</c:f>
              <c:numCache>
                <c:formatCode>0.00E+00</c:formatCode>
                <c:ptCount val="70"/>
                <c:pt idx="0">
                  <c:v>3.7278724684228239E-5</c:v>
                </c:pt>
                <c:pt idx="1">
                  <c:v>2.9583972540834189E-5</c:v>
                </c:pt>
                <c:pt idx="2">
                  <c:v>2.4986810097517816E-5</c:v>
                </c:pt>
                <c:pt idx="3">
                  <c:v>2.2180068756506759E-5</c:v>
                </c:pt>
                <c:pt idx="4">
                  <c:v>2.055884269738875E-5</c:v>
                </c:pt>
                <c:pt idx="5">
                  <c:v>1.9799494668116735E-5</c:v>
                </c:pt>
                <c:pt idx="6">
                  <c:v>1.9716915417972489E-5</c:v>
                </c:pt>
                <c:pt idx="7">
                  <c:v>2.019329488822527E-5</c:v>
                </c:pt>
                <c:pt idx="8">
                  <c:v>2.1151846331372441E-5</c:v>
                </c:pt>
                <c:pt idx="9">
                  <c:v>2.2547865010304433E-5</c:v>
                </c:pt>
                <c:pt idx="10">
                  <c:v>2.4359206490188407E-5</c:v>
                </c:pt>
                <c:pt idx="11">
                  <c:v>2.65792280480441E-5</c:v>
                </c:pt>
                <c:pt idx="12">
                  <c:v>2.921566931658695E-5</c:v>
                </c:pt>
                <c:pt idx="13">
                  <c:v>3.2289351832831439E-5</c:v>
                </c:pt>
                <c:pt idx="14">
                  <c:v>3.5825814663569131E-5</c:v>
                </c:pt>
                <c:pt idx="15">
                  <c:v>3.9815084669695406E-5</c:v>
                </c:pt>
                <c:pt idx="16">
                  <c:v>4.4072744256460044E-5</c:v>
                </c:pt>
                <c:pt idx="17">
                  <c:v>4.7980704726887982E-5</c:v>
                </c:pt>
                <c:pt idx="18">
                  <c:v>5.0370178048429259E-5</c:v>
                </c:pt>
                <c:pt idx="19">
                  <c:v>5.0004712261285722E-5</c:v>
                </c:pt>
                <c:pt idx="20">
                  <c:v>4.6426601895738476E-5</c:v>
                </c:pt>
                <c:pt idx="21">
                  <c:v>4.0298820403862506E-5</c:v>
                </c:pt>
                <c:pt idx="22">
                  <c:v>3.3118701237665418E-5</c:v>
                </c:pt>
                <c:pt idx="23">
                  <c:v>2.6394155520344919E-5</c:v>
                </c:pt>
                <c:pt idx="24">
                  <c:v>2.0889830733416847E-5</c:v>
                </c:pt>
                <c:pt idx="25">
                  <c:v>1.6610874534046927E-5</c:v>
                </c:pt>
                <c:pt idx="26">
                  <c:v>1.3282612606228821E-5</c:v>
                </c:pt>
                <c:pt idx="27">
                  <c:v>1.0646034252864458E-5</c:v>
                </c:pt>
                <c:pt idx="28">
                  <c:v>8.5462266111523462E-6</c:v>
                </c:pt>
                <c:pt idx="29">
                  <c:v>6.8922047008759315E-6</c:v>
                </c:pt>
                <c:pt idx="30">
                  <c:v>5.528755936190478E-6</c:v>
                </c:pt>
                <c:pt idx="31">
                  <c:v>4.2999735241145676E-6</c:v>
                </c:pt>
                <c:pt idx="32">
                  <c:v>3.1686850224386389E-6</c:v>
                </c:pt>
                <c:pt idx="33">
                  <c:v>2.1857597513810176E-6</c:v>
                </c:pt>
                <c:pt idx="34">
                  <c:v>1.4093683864291417E-6</c:v>
                </c:pt>
                <c:pt idx="35">
                  <c:v>8.7626325016270187E-7</c:v>
                </c:pt>
                <c:pt idx="36">
                  <c:v>5.7428498360724067E-7</c:v>
                </c:pt>
                <c:pt idx="37">
                  <c:v>4.4740160029771475E-7</c:v>
                </c:pt>
                <c:pt idx="38">
                  <c:v>4.4786368444111868E-7</c:v>
                </c:pt>
                <c:pt idx="39">
                  <c:v>6.5633688039213753E-7</c:v>
                </c:pt>
                <c:pt idx="40">
                  <c:v>1.783401474020992E-6</c:v>
                </c:pt>
                <c:pt idx="41">
                  <c:v>9.6594880825536828E-6</c:v>
                </c:pt>
                <c:pt idx="42">
                  <c:v>2.5393466688028068E-5</c:v>
                </c:pt>
                <c:pt idx="43">
                  <c:v>4.9874026123344933E-5</c:v>
                </c:pt>
                <c:pt idx="44">
                  <c:v>8.8730333788927649E-5</c:v>
                </c:pt>
                <c:pt idx="45">
                  <c:v>1.5621259648906428E-4</c:v>
                </c:pt>
                <c:pt idx="46">
                  <c:v>2.8031296422438042E-4</c:v>
                </c:pt>
                <c:pt idx="47">
                  <c:v>5.1037521567908904E-4</c:v>
                </c:pt>
                <c:pt idx="48">
                  <c:v>9.2756609534790015E-4</c:v>
                </c:pt>
                <c:pt idx="49">
                  <c:v>1.6790221830796769E-3</c:v>
                </c:pt>
                <c:pt idx="50">
                  <c:v>3.0177714274925763E-3</c:v>
                </c:pt>
                <c:pt idx="51">
                  <c:v>5.3956248052089194E-3</c:v>
                </c:pt>
                <c:pt idx="52">
                  <c:v>9.6708123965382163E-3</c:v>
                </c:pt>
                <c:pt idx="53">
                  <c:v>1.7705212205236638E-2</c:v>
                </c:pt>
                <c:pt idx="54">
                  <c:v>3.3013948544802316E-2</c:v>
                </c:pt>
                <c:pt idx="55">
                  <c:v>6.3553325897036869E-2</c:v>
                </c:pt>
                <c:pt idx="56">
                  <c:v>0.1282187182574499</c:v>
                </c:pt>
                <c:pt idx="57">
                  <c:v>0.26702519517370144</c:v>
                </c:pt>
                <c:pt idx="58">
                  <c:v>0.53539414994097967</c:v>
                </c:pt>
                <c:pt idx="59">
                  <c:v>0.88991922438793025</c:v>
                </c:pt>
                <c:pt idx="60">
                  <c:v>0.9779769714956642</c:v>
                </c:pt>
                <c:pt idx="61">
                  <c:v>0.98706199653444082</c:v>
                </c:pt>
                <c:pt idx="62">
                  <c:v>0.99316071381802473</c:v>
                </c:pt>
                <c:pt idx="63">
                  <c:v>0.99224470041631474</c:v>
                </c:pt>
                <c:pt idx="64">
                  <c:v>0.99217106666806398</c:v>
                </c:pt>
                <c:pt idx="65">
                  <c:v>0.99213267917354908</c:v>
                </c:pt>
                <c:pt idx="66">
                  <c:v>0.99208794340126694</c:v>
                </c:pt>
                <c:pt idx="67">
                  <c:v>0.99202449648569979</c:v>
                </c:pt>
                <c:pt idx="68">
                  <c:v>0.99192991677925924</c:v>
                </c:pt>
                <c:pt idx="69">
                  <c:v>0.99178750905269419</c:v>
                </c:pt>
              </c:numCache>
            </c:numRef>
          </c:xVal>
          <c:yVal>
            <c:numRef>
              <c:f>Sheet1!$E$3:$E$72</c:f>
              <c:numCache>
                <c:formatCode>0.00E+00</c:formatCode>
                <c:ptCount val="70"/>
                <c:pt idx="0">
                  <c:v>9011789</c:v>
                </c:pt>
                <c:pt idx="1">
                  <c:v>7301843</c:v>
                </c:pt>
                <c:pt idx="2">
                  <c:v>5890654</c:v>
                </c:pt>
                <c:pt idx="3">
                  <c:v>4735213</c:v>
                </c:pt>
                <c:pt idx="4">
                  <c:v>3795797</c:v>
                </c:pt>
                <c:pt idx="5">
                  <c:v>3035830</c:v>
                </c:pt>
                <c:pt idx="6">
                  <c:v>2423617</c:v>
                </c:pt>
                <c:pt idx="7">
                  <c:v>1932142</c:v>
                </c:pt>
                <c:pt idx="8">
                  <c:v>1538677</c:v>
                </c:pt>
                <c:pt idx="9">
                  <c:v>1224348</c:v>
                </c:pt>
                <c:pt idx="10">
                  <c:v>973646.9</c:v>
                </c:pt>
                <c:pt idx="11">
                  <c:v>773935</c:v>
                </c:pt>
                <c:pt idx="12">
                  <c:v>614985.69999999995</c:v>
                </c:pt>
                <c:pt idx="13">
                  <c:v>488561.8</c:v>
                </c:pt>
                <c:pt idx="14">
                  <c:v>388057</c:v>
                </c:pt>
                <c:pt idx="15">
                  <c:v>308183.59999999998</c:v>
                </c:pt>
                <c:pt idx="16">
                  <c:v>244711</c:v>
                </c:pt>
                <c:pt idx="17">
                  <c:v>194251.8</c:v>
                </c:pt>
                <c:pt idx="18">
                  <c:v>154093.70000000001</c:v>
                </c:pt>
                <c:pt idx="19">
                  <c:v>122077.6</c:v>
                </c:pt>
                <c:pt idx="20">
                  <c:v>96503.71</c:v>
                </c:pt>
                <c:pt idx="21">
                  <c:v>76049.52</c:v>
                </c:pt>
                <c:pt idx="22">
                  <c:v>59691.91</c:v>
                </c:pt>
                <c:pt idx="23">
                  <c:v>46637.2</c:v>
                </c:pt>
                <c:pt idx="24">
                  <c:v>36259.56</c:v>
                </c:pt>
                <c:pt idx="25">
                  <c:v>28052.43</c:v>
                </c:pt>
                <c:pt idx="26">
                  <c:v>21597.45</c:v>
                </c:pt>
                <c:pt idx="27">
                  <c:v>16547.64</c:v>
                </c:pt>
                <c:pt idx="28">
                  <c:v>12617.58</c:v>
                </c:pt>
                <c:pt idx="29">
                  <c:v>9572.393</c:v>
                </c:pt>
                <c:pt idx="30">
                  <c:v>7224.9359999999997</c:v>
                </c:pt>
                <c:pt idx="31">
                  <c:v>5425.1589999999997</c:v>
                </c:pt>
                <c:pt idx="32">
                  <c:v>4050.69</c:v>
                </c:pt>
                <c:pt idx="33">
                  <c:v>3004.3009999999999</c:v>
                </c:pt>
                <c:pt idx="34">
                  <c:v>2210.1840000000002</c:v>
                </c:pt>
                <c:pt idx="35">
                  <c:v>1611.6289999999999</c:v>
                </c:pt>
                <c:pt idx="36">
                  <c:v>1164.18</c:v>
                </c:pt>
                <c:pt idx="37">
                  <c:v>832.34519999999998</c:v>
                </c:pt>
                <c:pt idx="38">
                  <c:v>589.08500000000004</c:v>
                </c:pt>
                <c:pt idx="39">
                  <c:v>412.65679999999998</c:v>
                </c:pt>
                <c:pt idx="40">
                  <c:v>286.22559999999999</c:v>
                </c:pt>
                <c:pt idx="41">
                  <c:v>196.7225</c:v>
                </c:pt>
                <c:pt idx="42">
                  <c:v>133.99959999999999</c:v>
                </c:pt>
                <c:pt idx="43">
                  <c:v>90.544280000000001</c:v>
                </c:pt>
                <c:pt idx="44">
                  <c:v>60.710320000000003</c:v>
                </c:pt>
                <c:pt idx="45">
                  <c:v>40.39931</c:v>
                </c:pt>
                <c:pt idx="46">
                  <c:v>26.697859999999999</c:v>
                </c:pt>
                <c:pt idx="47">
                  <c:v>17.532219999999999</c:v>
                </c:pt>
                <c:pt idx="48">
                  <c:v>11.44833</c:v>
                </c:pt>
                <c:pt idx="49">
                  <c:v>7.4390590000000003</c:v>
                </c:pt>
                <c:pt idx="50">
                  <c:v>4.8134059999999996</c:v>
                </c:pt>
                <c:pt idx="51">
                  <c:v>3.1024910000000001</c:v>
                </c:pt>
                <c:pt idx="52">
                  <c:v>1.9925930000000001</c:v>
                </c:pt>
                <c:pt idx="53">
                  <c:v>1.2757700000000001</c:v>
                </c:pt>
                <c:pt idx="54">
                  <c:v>0.81481590000000004</c:v>
                </c:pt>
                <c:pt idx="55">
                  <c:v>0.51959029999999995</c:v>
                </c:pt>
                <c:pt idx="56">
                  <c:v>0.33126840000000002</c:v>
                </c:pt>
                <c:pt idx="57">
                  <c:v>0.21160670000000001</c:v>
                </c:pt>
                <c:pt idx="58">
                  <c:v>0.1358866</c:v>
                </c:pt>
                <c:pt idx="59">
                  <c:v>8.7980619999999995E-2</c:v>
                </c:pt>
                <c:pt idx="60">
                  <c:v>5.7246709999999999E-2</c:v>
                </c:pt>
                <c:pt idx="61">
                  <c:v>3.7266710000000002E-2</c:v>
                </c:pt>
                <c:pt idx="62">
                  <c:v>2.426004E-2</c:v>
                </c:pt>
                <c:pt idx="63">
                  <c:v>1.5792899999999999E-2</c:v>
                </c:pt>
                <c:pt idx="64">
                  <c:v>1.0280930000000001E-2</c:v>
                </c:pt>
                <c:pt idx="65">
                  <c:v>6.6927250000000001E-3</c:v>
                </c:pt>
                <c:pt idx="66">
                  <c:v>4.3568590000000003E-3</c:v>
                </c:pt>
                <c:pt idx="67">
                  <c:v>2.8362470000000001E-3</c:v>
                </c:pt>
                <c:pt idx="68">
                  <c:v>1.8463520000000001E-3</c:v>
                </c:pt>
                <c:pt idx="69">
                  <c:v>1.201946E-3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81-734F-9A1F-8031C50A8D7F}"/>
            </c:ext>
          </c:extLst>
        </c:ser>
        <c:ser>
          <c:idx val="1"/>
          <c:order val="1"/>
          <c:tx>
            <c:v>H2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Sheet1!$DQ$3:$DQ$72</c:f>
              <c:numCache>
                <c:formatCode>0.00E+00</c:formatCode>
                <c:ptCount val="70"/>
                <c:pt idx="0">
                  <c:v>0.98693511229612363</c:v>
                </c:pt>
                <c:pt idx="1">
                  <c:v>0.98696447501291018</c:v>
                </c:pt>
                <c:pt idx="2">
                  <c:v>0.98700796645835143</c:v>
                </c:pt>
                <c:pt idx="3">
                  <c:v>0.98705673694076557</c:v>
                </c:pt>
                <c:pt idx="4">
                  <c:v>0.9871050582851415</c:v>
                </c:pt>
                <c:pt idx="5">
                  <c:v>0.9871488447755874</c:v>
                </c:pt>
                <c:pt idx="6">
                  <c:v>0.98718552062199716</c:v>
                </c:pt>
                <c:pt idx="7">
                  <c:v>0.98721409947945815</c:v>
                </c:pt>
                <c:pt idx="8">
                  <c:v>0.9872349473541967</c:v>
                </c:pt>
                <c:pt idx="9">
                  <c:v>0.98724920302471109</c:v>
                </c:pt>
                <c:pt idx="10">
                  <c:v>0.98725824581026145</c:v>
                </c:pt>
                <c:pt idx="11">
                  <c:v>0.98726336809162962</c:v>
                </c:pt>
                <c:pt idx="12">
                  <c:v>0.98726560872327063</c:v>
                </c:pt>
                <c:pt idx="13">
                  <c:v>0.98726573708448528</c:v>
                </c:pt>
                <c:pt idx="14">
                  <c:v>0.9872642743323935</c:v>
                </c:pt>
                <c:pt idx="15">
                  <c:v>0.98726163815715218</c:v>
                </c:pt>
                <c:pt idx="16">
                  <c:v>0.9872582512916307</c:v>
                </c:pt>
                <c:pt idx="17">
                  <c:v>0.9872549197946352</c:v>
                </c:pt>
                <c:pt idx="18">
                  <c:v>0.98725294065538882</c:v>
                </c:pt>
                <c:pt idx="19">
                  <c:v>0.98725364229972612</c:v>
                </c:pt>
                <c:pt idx="20">
                  <c:v>0.9872575558159149</c:v>
                </c:pt>
                <c:pt idx="21">
                  <c:v>0.98726405711624798</c:v>
                </c:pt>
                <c:pt idx="22">
                  <c:v>0.9872716729929969</c:v>
                </c:pt>
                <c:pt idx="23">
                  <c:v>0.98727888967493005</c:v>
                </c:pt>
                <c:pt idx="24">
                  <c:v>0.98728494080270846</c:v>
                </c:pt>
                <c:pt idx="25">
                  <c:v>0.98728980042774062</c:v>
                </c:pt>
                <c:pt idx="26">
                  <c:v>0.98729374155715155</c:v>
                </c:pt>
                <c:pt idx="27">
                  <c:v>0.98729702812794717</c:v>
                </c:pt>
                <c:pt idx="28">
                  <c:v>0.98729982144664163</c:v>
                </c:pt>
                <c:pt idx="29">
                  <c:v>0.98730219918221351</c:v>
                </c:pt>
                <c:pt idx="30">
                  <c:v>0.98730433376205873</c:v>
                </c:pt>
                <c:pt idx="31">
                  <c:v>0.98730646339141059</c:v>
                </c:pt>
                <c:pt idx="32">
                  <c:v>0.98730871325984537</c:v>
                </c:pt>
                <c:pt idx="33">
                  <c:v>0.98731107388148964</c:v>
                </c:pt>
                <c:pt idx="34">
                  <c:v>0.98731357807480957</c:v>
                </c:pt>
                <c:pt idx="35">
                  <c:v>0.98731630212693311</c:v>
                </c:pt>
                <c:pt idx="36">
                  <c:v>0.98731917166801886</c:v>
                </c:pt>
                <c:pt idx="37">
                  <c:v>0.98732224005068814</c:v>
                </c:pt>
                <c:pt idx="38">
                  <c:v>0.98732562869199436</c:v>
                </c:pt>
                <c:pt idx="39">
                  <c:v>0.98732910398797202</c:v>
                </c:pt>
                <c:pt idx="40">
                  <c:v>0.98733188919017689</c:v>
                </c:pt>
                <c:pt idx="41">
                  <c:v>0.9873283117861561</c:v>
                </c:pt>
                <c:pt idx="42">
                  <c:v>0.98731705736830622</c:v>
                </c:pt>
                <c:pt idx="43">
                  <c:v>0.98729715278842378</c:v>
                </c:pt>
                <c:pt idx="44">
                  <c:v>0.98726314506259105</c:v>
                </c:pt>
                <c:pt idx="45">
                  <c:v>0.9872008625549018</c:v>
                </c:pt>
                <c:pt idx="46">
                  <c:v>0.98708241065109259</c:v>
                </c:pt>
                <c:pt idx="47">
                  <c:v>0.98685853745663599</c:v>
                </c:pt>
                <c:pt idx="48">
                  <c:v>0.9864482741072349</c:v>
                </c:pt>
                <c:pt idx="49">
                  <c:v>0.98570543328087445</c:v>
                </c:pt>
                <c:pt idx="50">
                  <c:v>0.98437873103832829</c:v>
                </c:pt>
                <c:pt idx="51">
                  <c:v>0.98201927368784703</c:v>
                </c:pt>
                <c:pt idx="52">
                  <c:v>0.97777409373554303</c:v>
                </c:pt>
                <c:pt idx="53">
                  <c:v>0.96979276069196596</c:v>
                </c:pt>
                <c:pt idx="54">
                  <c:v>0.95458200995706455</c:v>
                </c:pt>
                <c:pt idx="55">
                  <c:v>0.92423541966648826</c:v>
                </c:pt>
                <c:pt idx="56">
                  <c:v>0.85997672071767606</c:v>
                </c:pt>
                <c:pt idx="57">
                  <c:v>0.72204540893966829</c:v>
                </c:pt>
                <c:pt idx="58">
                  <c:v>0.45537883745481295</c:v>
                </c:pt>
                <c:pt idx="59">
                  <c:v>0.10321586030334103</c:v>
                </c:pt>
                <c:pt idx="60">
                  <c:v>1.5904003337072332E-2</c:v>
                </c:pt>
                <c:pt idx="61">
                  <c:v>6.7327364162646387E-3</c:v>
                </c:pt>
                <c:pt idx="62">
                  <c:v>9.6412884945165715E-5</c:v>
                </c:pt>
                <c:pt idx="63">
                  <c:v>9.6814195408744136E-6</c:v>
                </c:pt>
                <c:pt idx="64">
                  <c:v>5.5053009710682775E-6</c:v>
                </c:pt>
                <c:pt idx="65">
                  <c:v>3.4381802675505732E-6</c:v>
                </c:pt>
                <c:pt idx="66">
                  <c:v>2.1645118905986587E-6</c:v>
                </c:pt>
                <c:pt idx="67">
                  <c:v>1.3544784862770763E-6</c:v>
                </c:pt>
                <c:pt idx="68">
                  <c:v>8.3545303574956156E-7</c:v>
                </c:pt>
                <c:pt idx="69">
                  <c:v>5.0852183098714964E-7</c:v>
                </c:pt>
              </c:numCache>
            </c:numRef>
          </c:xVal>
          <c:yVal>
            <c:numRef>
              <c:f>Sheet1!$E$3:$E$72</c:f>
              <c:numCache>
                <c:formatCode>0.00E+00</c:formatCode>
                <c:ptCount val="70"/>
                <c:pt idx="0">
                  <c:v>9011789</c:v>
                </c:pt>
                <c:pt idx="1">
                  <c:v>7301843</c:v>
                </c:pt>
                <c:pt idx="2">
                  <c:v>5890654</c:v>
                </c:pt>
                <c:pt idx="3">
                  <c:v>4735213</c:v>
                </c:pt>
                <c:pt idx="4">
                  <c:v>3795797</c:v>
                </c:pt>
                <c:pt idx="5">
                  <c:v>3035830</c:v>
                </c:pt>
                <c:pt idx="6">
                  <c:v>2423617</c:v>
                </c:pt>
                <c:pt idx="7">
                  <c:v>1932142</c:v>
                </c:pt>
                <c:pt idx="8">
                  <c:v>1538677</c:v>
                </c:pt>
                <c:pt idx="9">
                  <c:v>1224348</c:v>
                </c:pt>
                <c:pt idx="10">
                  <c:v>973646.9</c:v>
                </c:pt>
                <c:pt idx="11">
                  <c:v>773935</c:v>
                </c:pt>
                <c:pt idx="12">
                  <c:v>614985.69999999995</c:v>
                </c:pt>
                <c:pt idx="13">
                  <c:v>488561.8</c:v>
                </c:pt>
                <c:pt idx="14">
                  <c:v>388057</c:v>
                </c:pt>
                <c:pt idx="15">
                  <c:v>308183.59999999998</c:v>
                </c:pt>
                <c:pt idx="16">
                  <c:v>244711</c:v>
                </c:pt>
                <c:pt idx="17">
                  <c:v>194251.8</c:v>
                </c:pt>
                <c:pt idx="18">
                  <c:v>154093.70000000001</c:v>
                </c:pt>
                <c:pt idx="19">
                  <c:v>122077.6</c:v>
                </c:pt>
                <c:pt idx="20">
                  <c:v>96503.71</c:v>
                </c:pt>
                <c:pt idx="21">
                  <c:v>76049.52</c:v>
                </c:pt>
                <c:pt idx="22">
                  <c:v>59691.91</c:v>
                </c:pt>
                <c:pt idx="23">
                  <c:v>46637.2</c:v>
                </c:pt>
                <c:pt idx="24">
                  <c:v>36259.56</c:v>
                </c:pt>
                <c:pt idx="25">
                  <c:v>28052.43</c:v>
                </c:pt>
                <c:pt idx="26">
                  <c:v>21597.45</c:v>
                </c:pt>
                <c:pt idx="27">
                  <c:v>16547.64</c:v>
                </c:pt>
                <c:pt idx="28">
                  <c:v>12617.58</c:v>
                </c:pt>
                <c:pt idx="29">
                  <c:v>9572.393</c:v>
                </c:pt>
                <c:pt idx="30">
                  <c:v>7224.9359999999997</c:v>
                </c:pt>
                <c:pt idx="31">
                  <c:v>5425.1589999999997</c:v>
                </c:pt>
                <c:pt idx="32">
                  <c:v>4050.69</c:v>
                </c:pt>
                <c:pt idx="33">
                  <c:v>3004.3009999999999</c:v>
                </c:pt>
                <c:pt idx="34">
                  <c:v>2210.1840000000002</c:v>
                </c:pt>
                <c:pt idx="35">
                  <c:v>1611.6289999999999</c:v>
                </c:pt>
                <c:pt idx="36">
                  <c:v>1164.18</c:v>
                </c:pt>
                <c:pt idx="37">
                  <c:v>832.34519999999998</c:v>
                </c:pt>
                <c:pt idx="38">
                  <c:v>589.08500000000004</c:v>
                </c:pt>
                <c:pt idx="39">
                  <c:v>412.65679999999998</c:v>
                </c:pt>
                <c:pt idx="40">
                  <c:v>286.22559999999999</c:v>
                </c:pt>
                <c:pt idx="41">
                  <c:v>196.7225</c:v>
                </c:pt>
                <c:pt idx="42">
                  <c:v>133.99959999999999</c:v>
                </c:pt>
                <c:pt idx="43">
                  <c:v>90.544280000000001</c:v>
                </c:pt>
                <c:pt idx="44">
                  <c:v>60.710320000000003</c:v>
                </c:pt>
                <c:pt idx="45">
                  <c:v>40.39931</c:v>
                </c:pt>
                <c:pt idx="46">
                  <c:v>26.697859999999999</c:v>
                </c:pt>
                <c:pt idx="47">
                  <c:v>17.532219999999999</c:v>
                </c:pt>
                <c:pt idx="48">
                  <c:v>11.44833</c:v>
                </c:pt>
                <c:pt idx="49">
                  <c:v>7.4390590000000003</c:v>
                </c:pt>
                <c:pt idx="50">
                  <c:v>4.8134059999999996</c:v>
                </c:pt>
                <c:pt idx="51">
                  <c:v>3.1024910000000001</c:v>
                </c:pt>
                <c:pt idx="52">
                  <c:v>1.9925930000000001</c:v>
                </c:pt>
                <c:pt idx="53">
                  <c:v>1.2757700000000001</c:v>
                </c:pt>
                <c:pt idx="54">
                  <c:v>0.81481590000000004</c:v>
                </c:pt>
                <c:pt idx="55">
                  <c:v>0.51959029999999995</c:v>
                </c:pt>
                <c:pt idx="56">
                  <c:v>0.33126840000000002</c:v>
                </c:pt>
                <c:pt idx="57">
                  <c:v>0.21160670000000001</c:v>
                </c:pt>
                <c:pt idx="58">
                  <c:v>0.1358866</c:v>
                </c:pt>
                <c:pt idx="59">
                  <c:v>8.7980619999999995E-2</c:v>
                </c:pt>
                <c:pt idx="60">
                  <c:v>5.7246709999999999E-2</c:v>
                </c:pt>
                <c:pt idx="61">
                  <c:v>3.7266710000000002E-2</c:v>
                </c:pt>
                <c:pt idx="62">
                  <c:v>2.426004E-2</c:v>
                </c:pt>
                <c:pt idx="63">
                  <c:v>1.5792899999999999E-2</c:v>
                </c:pt>
                <c:pt idx="64">
                  <c:v>1.0280930000000001E-2</c:v>
                </c:pt>
                <c:pt idx="65">
                  <c:v>6.6927250000000001E-3</c:v>
                </c:pt>
                <c:pt idx="66">
                  <c:v>4.3568590000000003E-3</c:v>
                </c:pt>
                <c:pt idx="67">
                  <c:v>2.8362470000000001E-3</c:v>
                </c:pt>
                <c:pt idx="68">
                  <c:v>1.8463520000000001E-3</c:v>
                </c:pt>
                <c:pt idx="69">
                  <c:v>1.201946E-3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81-734F-9A1F-8031C50A8D7F}"/>
            </c:ext>
          </c:extLst>
        </c:ser>
        <c:ser>
          <c:idx val="2"/>
          <c:order val="2"/>
          <c:tx>
            <c:v>CH4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Sheet1!$DR$3:$DR$72</c:f>
              <c:numCache>
                <c:formatCode>0.00E+00</c:formatCode>
                <c:ptCount val="70"/>
                <c:pt idx="0">
                  <c:v>3.2067999891571472E-4</c:v>
                </c:pt>
                <c:pt idx="1">
                  <c:v>2.9977433955193409E-4</c:v>
                </c:pt>
                <c:pt idx="2">
                  <c:v>2.6220692020738513E-4</c:v>
                </c:pt>
                <c:pt idx="3">
                  <c:v>2.1772026937862839E-4</c:v>
                </c:pt>
                <c:pt idx="4">
                  <c:v>1.7248719140833103E-4</c:v>
                </c:pt>
                <c:pt idx="5">
                  <c:v>1.3078770519442292E-4</c:v>
                </c:pt>
                <c:pt idx="6">
                  <c:v>9.5327128737620327E-5</c:v>
                </c:pt>
                <c:pt idx="7">
                  <c:v>6.7167048903729498E-5</c:v>
                </c:pt>
                <c:pt idx="8">
                  <c:v>4.6037990526834782E-5</c:v>
                </c:pt>
                <c:pt idx="9">
                  <c:v>3.0879755580812483E-5</c:v>
                </c:pt>
                <c:pt idx="10">
                  <c:v>2.0373504289591876E-5</c:v>
                </c:pt>
                <c:pt idx="11">
                  <c:v>1.3278081201577758E-5</c:v>
                </c:pt>
                <c:pt idx="12">
                  <c:v>8.5762725904759642E-6</c:v>
                </c:pt>
                <c:pt idx="13">
                  <c:v>5.502911369727085E-6</c:v>
                </c:pt>
                <c:pt idx="14">
                  <c:v>3.514380966589169E-6</c:v>
                </c:pt>
                <c:pt idx="15">
                  <c:v>2.2394946254040891E-6</c:v>
                </c:pt>
                <c:pt idx="16">
                  <c:v>1.4321740366355886E-6</c:v>
                </c:pt>
                <c:pt idx="17">
                  <c:v>9.3081112819833528E-7</c:v>
                </c:pt>
                <c:pt idx="18">
                  <c:v>6.2684100384097376E-7</c:v>
                </c:pt>
                <c:pt idx="19">
                  <c:v>4.4576779991162166E-7</c:v>
                </c:pt>
                <c:pt idx="20">
                  <c:v>3.3816741284980396E-7</c:v>
                </c:pt>
                <c:pt idx="21">
                  <c:v>2.7331914662293216E-7</c:v>
                </c:pt>
                <c:pt idx="22">
                  <c:v>2.3206799388622885E-7</c:v>
                </c:pt>
                <c:pt idx="23">
                  <c:v>2.0189762777425285E-7</c:v>
                </c:pt>
                <c:pt idx="24">
                  <c:v>1.7579224302246336E-7</c:v>
                </c:pt>
                <c:pt idx="25">
                  <c:v>1.5139156735506856E-7</c:v>
                </c:pt>
                <c:pt idx="26">
                  <c:v>1.2907199024287658E-7</c:v>
                </c:pt>
                <c:pt idx="27">
                  <c:v>1.097506906942243E-7</c:v>
                </c:pt>
                <c:pt idx="28">
                  <c:v>9.3981282652130445E-8</c:v>
                </c:pt>
                <c:pt idx="29">
                  <c:v>8.2185003005449997E-8</c:v>
                </c:pt>
                <c:pt idx="30">
                  <c:v>7.4635200928403343E-8</c:v>
                </c:pt>
                <c:pt idx="31">
                  <c:v>7.0693233860947483E-8</c:v>
                </c:pt>
                <c:pt idx="32">
                  <c:v>6.9026875317202215E-8</c:v>
                </c:pt>
                <c:pt idx="33">
                  <c:v>6.8430439119891401E-8</c:v>
                </c:pt>
                <c:pt idx="34">
                  <c:v>6.8207410482421502E-8</c:v>
                </c:pt>
                <c:pt idx="35">
                  <c:v>6.8067872061553497E-8</c:v>
                </c:pt>
                <c:pt idx="36">
                  <c:v>6.791748341591568E-8</c:v>
                </c:pt>
                <c:pt idx="37">
                  <c:v>6.7722708190153063E-8</c:v>
                </c:pt>
                <c:pt idx="38">
                  <c:v>6.7459222023738118E-8</c:v>
                </c:pt>
                <c:pt idx="39">
                  <c:v>6.7096767120810705E-8</c:v>
                </c:pt>
                <c:pt idx="40">
                  <c:v>6.658981402031847E-8</c:v>
                </c:pt>
                <c:pt idx="41">
                  <c:v>6.5866160988613168E-8</c:v>
                </c:pt>
                <c:pt idx="42">
                  <c:v>6.4835135332326757E-8</c:v>
                </c:pt>
                <c:pt idx="43">
                  <c:v>6.3369519138524873E-8</c:v>
                </c:pt>
                <c:pt idx="44">
                  <c:v>6.1283643247940119E-8</c:v>
                </c:pt>
                <c:pt idx="45">
                  <c:v>5.8306269596977084E-8</c:v>
                </c:pt>
                <c:pt idx="46">
                  <c:v>5.4061352044742553E-8</c:v>
                </c:pt>
                <c:pt idx="47">
                  <c:v>4.8084984502649063E-8</c:v>
                </c:pt>
                <c:pt idx="48">
                  <c:v>3.99390321918006E-8</c:v>
                </c:pt>
                <c:pt idx="49">
                  <c:v>2.9547583852180486E-8</c:v>
                </c:pt>
                <c:pt idx="50">
                  <c:v>1.791110548339062E-8</c:v>
                </c:pt>
                <c:pt idx="51">
                  <c:v>7.6754113321690735E-9</c:v>
                </c:pt>
                <c:pt idx="52">
                  <c:v>1.8105698995091244E-9</c:v>
                </c:pt>
                <c:pt idx="53">
                  <c:v>1.6912583242734915E-10</c:v>
                </c:pt>
                <c:pt idx="54">
                  <c:v>6.5833841577134311E-12</c:v>
                </c:pt>
                <c:pt idx="55">
                  <c:v>2.0300962607095887E-13</c:v>
                </c:pt>
                <c:pt idx="56">
                  <c:v>5.3429917812249725E-15</c:v>
                </c:pt>
                <c:pt idx="57">
                  <c:v>6.3362314174620786E-17</c:v>
                </c:pt>
                <c:pt idx="58">
                  <c:v>6.9635808600102104E-20</c:v>
                </c:pt>
                <c:pt idx="59">
                  <c:v>1.5380102314478741E-23</c:v>
                </c:pt>
                <c:pt idx="60">
                  <c:v>3.4046321561341027E-23</c:v>
                </c:pt>
                <c:pt idx="61">
                  <c:v>4.0047566253076591E-21</c:v>
                </c:pt>
                <c:pt idx="62">
                  <c:v>5.7874293574281181E-23</c:v>
                </c:pt>
                <c:pt idx="63">
                  <c:v>3.2586724421147552E-25</c:v>
                </c:pt>
                <c:pt idx="64">
                  <c:v>6.0686589323906422E-26</c:v>
                </c:pt>
                <c:pt idx="65">
                  <c:v>1.1496046974217783E-26</c:v>
                </c:pt>
                <c:pt idx="66">
                  <c:v>1.9951448446317374E-27</c:v>
                </c:pt>
                <c:pt idx="67">
                  <c:v>3.1154618661521722E-28</c:v>
                </c:pt>
                <c:pt idx="68">
                  <c:v>4.3466732878894693E-29</c:v>
                </c:pt>
                <c:pt idx="69">
                  <c:v>5.4857166352676912E-30</c:v>
                </c:pt>
              </c:numCache>
            </c:numRef>
          </c:xVal>
          <c:yVal>
            <c:numRef>
              <c:f>Sheet1!$E$3:$E$72</c:f>
              <c:numCache>
                <c:formatCode>0.00E+00</c:formatCode>
                <c:ptCount val="70"/>
                <c:pt idx="0">
                  <c:v>9011789</c:v>
                </c:pt>
                <c:pt idx="1">
                  <c:v>7301843</c:v>
                </c:pt>
                <c:pt idx="2">
                  <c:v>5890654</c:v>
                </c:pt>
                <c:pt idx="3">
                  <c:v>4735213</c:v>
                </c:pt>
                <c:pt idx="4">
                  <c:v>3795797</c:v>
                </c:pt>
                <c:pt idx="5">
                  <c:v>3035830</c:v>
                </c:pt>
                <c:pt idx="6">
                  <c:v>2423617</c:v>
                </c:pt>
                <c:pt idx="7">
                  <c:v>1932142</c:v>
                </c:pt>
                <c:pt idx="8">
                  <c:v>1538677</c:v>
                </c:pt>
                <c:pt idx="9">
                  <c:v>1224348</c:v>
                </c:pt>
                <c:pt idx="10">
                  <c:v>973646.9</c:v>
                </c:pt>
                <c:pt idx="11">
                  <c:v>773935</c:v>
                </c:pt>
                <c:pt idx="12">
                  <c:v>614985.69999999995</c:v>
                </c:pt>
                <c:pt idx="13">
                  <c:v>488561.8</c:v>
                </c:pt>
                <c:pt idx="14">
                  <c:v>388057</c:v>
                </c:pt>
                <c:pt idx="15">
                  <c:v>308183.59999999998</c:v>
                </c:pt>
                <c:pt idx="16">
                  <c:v>244711</c:v>
                </c:pt>
                <c:pt idx="17">
                  <c:v>194251.8</c:v>
                </c:pt>
                <c:pt idx="18">
                  <c:v>154093.70000000001</c:v>
                </c:pt>
                <c:pt idx="19">
                  <c:v>122077.6</c:v>
                </c:pt>
                <c:pt idx="20">
                  <c:v>96503.71</c:v>
                </c:pt>
                <c:pt idx="21">
                  <c:v>76049.52</c:v>
                </c:pt>
                <c:pt idx="22">
                  <c:v>59691.91</c:v>
                </c:pt>
                <c:pt idx="23">
                  <c:v>46637.2</c:v>
                </c:pt>
                <c:pt idx="24">
                  <c:v>36259.56</c:v>
                </c:pt>
                <c:pt idx="25">
                  <c:v>28052.43</c:v>
                </c:pt>
                <c:pt idx="26">
                  <c:v>21597.45</c:v>
                </c:pt>
                <c:pt idx="27">
                  <c:v>16547.64</c:v>
                </c:pt>
                <c:pt idx="28">
                  <c:v>12617.58</c:v>
                </c:pt>
                <c:pt idx="29">
                  <c:v>9572.393</c:v>
                </c:pt>
                <c:pt idx="30">
                  <c:v>7224.9359999999997</c:v>
                </c:pt>
                <c:pt idx="31">
                  <c:v>5425.1589999999997</c:v>
                </c:pt>
                <c:pt idx="32">
                  <c:v>4050.69</c:v>
                </c:pt>
                <c:pt idx="33">
                  <c:v>3004.3009999999999</c:v>
                </c:pt>
                <c:pt idx="34">
                  <c:v>2210.1840000000002</c:v>
                </c:pt>
                <c:pt idx="35">
                  <c:v>1611.6289999999999</c:v>
                </c:pt>
                <c:pt idx="36">
                  <c:v>1164.18</c:v>
                </c:pt>
                <c:pt idx="37">
                  <c:v>832.34519999999998</c:v>
                </c:pt>
                <c:pt idx="38">
                  <c:v>589.08500000000004</c:v>
                </c:pt>
                <c:pt idx="39">
                  <c:v>412.65679999999998</c:v>
                </c:pt>
                <c:pt idx="40">
                  <c:v>286.22559999999999</c:v>
                </c:pt>
                <c:pt idx="41">
                  <c:v>196.7225</c:v>
                </c:pt>
                <c:pt idx="42">
                  <c:v>133.99959999999999</c:v>
                </c:pt>
                <c:pt idx="43">
                  <c:v>90.544280000000001</c:v>
                </c:pt>
                <c:pt idx="44">
                  <c:v>60.710320000000003</c:v>
                </c:pt>
                <c:pt idx="45">
                  <c:v>40.39931</c:v>
                </c:pt>
                <c:pt idx="46">
                  <c:v>26.697859999999999</c:v>
                </c:pt>
                <c:pt idx="47">
                  <c:v>17.532219999999999</c:v>
                </c:pt>
                <c:pt idx="48">
                  <c:v>11.44833</c:v>
                </c:pt>
                <c:pt idx="49">
                  <c:v>7.4390590000000003</c:v>
                </c:pt>
                <c:pt idx="50">
                  <c:v>4.8134059999999996</c:v>
                </c:pt>
                <c:pt idx="51">
                  <c:v>3.1024910000000001</c:v>
                </c:pt>
                <c:pt idx="52">
                  <c:v>1.9925930000000001</c:v>
                </c:pt>
                <c:pt idx="53">
                  <c:v>1.2757700000000001</c:v>
                </c:pt>
                <c:pt idx="54">
                  <c:v>0.81481590000000004</c:v>
                </c:pt>
                <c:pt idx="55">
                  <c:v>0.51959029999999995</c:v>
                </c:pt>
                <c:pt idx="56">
                  <c:v>0.33126840000000002</c:v>
                </c:pt>
                <c:pt idx="57">
                  <c:v>0.21160670000000001</c:v>
                </c:pt>
                <c:pt idx="58">
                  <c:v>0.1358866</c:v>
                </c:pt>
                <c:pt idx="59">
                  <c:v>8.7980619999999995E-2</c:v>
                </c:pt>
                <c:pt idx="60">
                  <c:v>5.7246709999999999E-2</c:v>
                </c:pt>
                <c:pt idx="61">
                  <c:v>3.7266710000000002E-2</c:v>
                </c:pt>
                <c:pt idx="62">
                  <c:v>2.426004E-2</c:v>
                </c:pt>
                <c:pt idx="63">
                  <c:v>1.5792899999999999E-2</c:v>
                </c:pt>
                <c:pt idx="64">
                  <c:v>1.0280930000000001E-2</c:v>
                </c:pt>
                <c:pt idx="65">
                  <c:v>6.6927250000000001E-3</c:v>
                </c:pt>
                <c:pt idx="66">
                  <c:v>4.3568590000000003E-3</c:v>
                </c:pt>
                <c:pt idx="67">
                  <c:v>2.8362470000000001E-3</c:v>
                </c:pt>
                <c:pt idx="68">
                  <c:v>1.8463520000000001E-3</c:v>
                </c:pt>
                <c:pt idx="69">
                  <c:v>1.201946E-3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81-734F-9A1F-8031C50A8D7F}"/>
            </c:ext>
          </c:extLst>
        </c:ser>
        <c:ser>
          <c:idx val="3"/>
          <c:order val="3"/>
          <c:tx>
            <c:v>CO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Sheet1!$DS$3:$DS$72</c:f>
              <c:numCache>
                <c:formatCode>0.00E+00</c:formatCode>
                <c:ptCount val="70"/>
                <c:pt idx="0">
                  <c:v>2.5765304026281409E-3</c:v>
                </c:pt>
                <c:pt idx="1">
                  <c:v>2.597237429851908E-3</c:v>
                </c:pt>
                <c:pt idx="2">
                  <c:v>2.6343354785573051E-3</c:v>
                </c:pt>
                <c:pt idx="3">
                  <c:v>2.6783065294969472E-3</c:v>
                </c:pt>
                <c:pt idx="4">
                  <c:v>2.7230364200773673E-3</c:v>
                </c:pt>
                <c:pt idx="5">
                  <c:v>2.7642823159183421E-3</c:v>
                </c:pt>
                <c:pt idx="6">
                  <c:v>2.7993589047062206E-3</c:v>
                </c:pt>
                <c:pt idx="7">
                  <c:v>2.8272146825282091E-3</c:v>
                </c:pt>
                <c:pt idx="8">
                  <c:v>2.8481122910533527E-3</c:v>
                </c:pt>
                <c:pt idx="9">
                  <c:v>2.8631007801274188E-3</c:v>
                </c:pt>
                <c:pt idx="10">
                  <c:v>2.8734882266051552E-3</c:v>
                </c:pt>
                <c:pt idx="11">
                  <c:v>2.8804976549922229E-3</c:v>
                </c:pt>
                <c:pt idx="12">
                  <c:v>2.8851393914417372E-3</c:v>
                </c:pt>
                <c:pt idx="13">
                  <c:v>2.8881688037416496E-3</c:v>
                </c:pt>
                <c:pt idx="14">
                  <c:v>2.8901281601853221E-3</c:v>
                </c:pt>
                <c:pt idx="15">
                  <c:v>2.8913768537286561E-3</c:v>
                </c:pt>
                <c:pt idx="16">
                  <c:v>2.8921567608867645E-3</c:v>
                </c:pt>
                <c:pt idx="17">
                  <c:v>2.8926130795937466E-3</c:v>
                </c:pt>
                <c:pt idx="18">
                  <c:v>2.8928313922055911E-3</c:v>
                </c:pt>
                <c:pt idx="19">
                  <c:v>2.8928597555647152E-3</c:v>
                </c:pt>
                <c:pt idx="20">
                  <c:v>2.8927257284288104E-3</c:v>
                </c:pt>
                <c:pt idx="21">
                  <c:v>2.8924526632745497E-3</c:v>
                </c:pt>
                <c:pt idx="22">
                  <c:v>2.8920678978032592E-3</c:v>
                </c:pt>
                <c:pt idx="23">
                  <c:v>2.891602751121795E-3</c:v>
                </c:pt>
                <c:pt idx="24">
                  <c:v>2.8910779105049385E-3</c:v>
                </c:pt>
                <c:pt idx="25">
                  <c:v>2.8905250692275158E-3</c:v>
                </c:pt>
                <c:pt idx="26">
                  <c:v>2.8899452705723498E-3</c:v>
                </c:pt>
                <c:pt idx="27">
                  <c:v>2.8893214414805989E-3</c:v>
                </c:pt>
                <c:pt idx="28">
                  <c:v>2.8886484505937296E-3</c:v>
                </c:pt>
                <c:pt idx="29">
                  <c:v>2.8879419544221799E-3</c:v>
                </c:pt>
                <c:pt idx="30">
                  <c:v>2.8871768189964579E-3</c:v>
                </c:pt>
                <c:pt idx="31">
                  <c:v>2.8862771239618621E-3</c:v>
                </c:pt>
                <c:pt idx="32">
                  <c:v>2.8851604915847377E-3</c:v>
                </c:pt>
                <c:pt idx="33">
                  <c:v>2.8837731227874127E-3</c:v>
                </c:pt>
                <c:pt idx="34">
                  <c:v>2.8820377781536913E-3</c:v>
                </c:pt>
                <c:pt idx="35">
                  <c:v>2.8798488700594069E-3</c:v>
                </c:pt>
                <c:pt idx="36">
                  <c:v>2.8772796767099185E-3</c:v>
                </c:pt>
                <c:pt idx="37">
                  <c:v>2.8743352916876532E-3</c:v>
                </c:pt>
                <c:pt idx="38">
                  <c:v>2.8709432593253524E-3</c:v>
                </c:pt>
                <c:pt idx="39">
                  <c:v>2.8672575535427852E-3</c:v>
                </c:pt>
                <c:pt idx="40">
                  <c:v>2.8633441962607228E-3</c:v>
                </c:pt>
                <c:pt idx="41">
                  <c:v>2.8590841962197956E-3</c:v>
                </c:pt>
                <c:pt idx="42">
                  <c:v>2.8546693033684608E-3</c:v>
                </c:pt>
                <c:pt idx="43">
                  <c:v>2.8502014216096128E-3</c:v>
                </c:pt>
                <c:pt idx="44">
                  <c:v>2.8455249160537822E-3</c:v>
                </c:pt>
                <c:pt idx="45">
                  <c:v>2.8406299271783735E-3</c:v>
                </c:pt>
                <c:pt idx="46">
                  <c:v>2.8355464986619342E-3</c:v>
                </c:pt>
                <c:pt idx="47">
                  <c:v>2.8304265889804565E-3</c:v>
                </c:pt>
                <c:pt idx="48">
                  <c:v>2.8254534799294511E-3</c:v>
                </c:pt>
                <c:pt idx="49">
                  <c:v>2.8203783160771377E-3</c:v>
                </c:pt>
                <c:pt idx="50">
                  <c:v>2.8146692021993637E-3</c:v>
                </c:pt>
                <c:pt idx="51">
                  <c:v>2.8075713960629294E-3</c:v>
                </c:pt>
                <c:pt idx="52">
                  <c:v>2.7979474912763519E-3</c:v>
                </c:pt>
                <c:pt idx="53">
                  <c:v>2.7833757358545885E-3</c:v>
                </c:pt>
                <c:pt idx="54">
                  <c:v>2.7590638258489742E-3</c:v>
                </c:pt>
                <c:pt idx="55">
                  <c:v>2.71391686715412E-3</c:v>
                </c:pt>
                <c:pt idx="56">
                  <c:v>2.6212003893182354E-3</c:v>
                </c:pt>
                <c:pt idx="57">
                  <c:v>2.4224630456444796E-3</c:v>
                </c:pt>
                <c:pt idx="58">
                  <c:v>2.0315503499501765E-3</c:v>
                </c:pt>
                <c:pt idx="59">
                  <c:v>1.4183729819857444E-3</c:v>
                </c:pt>
                <c:pt idx="60">
                  <c:v>1.2616394181513763E-3</c:v>
                </c:pt>
                <c:pt idx="61">
                  <c:v>1.3464755895931523E-3</c:v>
                </c:pt>
                <c:pt idx="62">
                  <c:v>1.0788749123936824E-3</c:v>
                </c:pt>
                <c:pt idx="63">
                  <c:v>8.323192284568453E-5</c:v>
                </c:pt>
                <c:pt idx="64">
                  <c:v>2.2497707328207573E-5</c:v>
                </c:pt>
                <c:pt idx="65">
                  <c:v>8.7314319954912233E-6</c:v>
                </c:pt>
                <c:pt idx="66">
                  <c:v>3.5525712576809759E-6</c:v>
                </c:pt>
                <c:pt idx="67">
                  <c:v>1.4503274571606496E-6</c:v>
                </c:pt>
                <c:pt idx="68">
                  <c:v>5.8613840865416183E-7</c:v>
                </c:pt>
                <c:pt idx="69">
                  <c:v>2.3548299449040404E-7</c:v>
                </c:pt>
              </c:numCache>
            </c:numRef>
          </c:xVal>
          <c:yVal>
            <c:numRef>
              <c:f>Sheet1!$E$3:$E$72</c:f>
              <c:numCache>
                <c:formatCode>0.00E+00</c:formatCode>
                <c:ptCount val="70"/>
                <c:pt idx="0">
                  <c:v>9011789</c:v>
                </c:pt>
                <c:pt idx="1">
                  <c:v>7301843</c:v>
                </c:pt>
                <c:pt idx="2">
                  <c:v>5890654</c:v>
                </c:pt>
                <c:pt idx="3">
                  <c:v>4735213</c:v>
                </c:pt>
                <c:pt idx="4">
                  <c:v>3795797</c:v>
                </c:pt>
                <c:pt idx="5">
                  <c:v>3035830</c:v>
                </c:pt>
                <c:pt idx="6">
                  <c:v>2423617</c:v>
                </c:pt>
                <c:pt idx="7">
                  <c:v>1932142</c:v>
                </c:pt>
                <c:pt idx="8">
                  <c:v>1538677</c:v>
                </c:pt>
                <c:pt idx="9">
                  <c:v>1224348</c:v>
                </c:pt>
                <c:pt idx="10">
                  <c:v>973646.9</c:v>
                </c:pt>
                <c:pt idx="11">
                  <c:v>773935</c:v>
                </c:pt>
                <c:pt idx="12">
                  <c:v>614985.69999999995</c:v>
                </c:pt>
                <c:pt idx="13">
                  <c:v>488561.8</c:v>
                </c:pt>
                <c:pt idx="14">
                  <c:v>388057</c:v>
                </c:pt>
                <c:pt idx="15">
                  <c:v>308183.59999999998</c:v>
                </c:pt>
                <c:pt idx="16">
                  <c:v>244711</c:v>
                </c:pt>
                <c:pt idx="17">
                  <c:v>194251.8</c:v>
                </c:pt>
                <c:pt idx="18">
                  <c:v>154093.70000000001</c:v>
                </c:pt>
                <c:pt idx="19">
                  <c:v>122077.6</c:v>
                </c:pt>
                <c:pt idx="20">
                  <c:v>96503.71</c:v>
                </c:pt>
                <c:pt idx="21">
                  <c:v>76049.52</c:v>
                </c:pt>
                <c:pt idx="22">
                  <c:v>59691.91</c:v>
                </c:pt>
                <c:pt idx="23">
                  <c:v>46637.2</c:v>
                </c:pt>
                <c:pt idx="24">
                  <c:v>36259.56</c:v>
                </c:pt>
                <c:pt idx="25">
                  <c:v>28052.43</c:v>
                </c:pt>
                <c:pt idx="26">
                  <c:v>21597.45</c:v>
                </c:pt>
                <c:pt idx="27">
                  <c:v>16547.64</c:v>
                </c:pt>
                <c:pt idx="28">
                  <c:v>12617.58</c:v>
                </c:pt>
                <c:pt idx="29">
                  <c:v>9572.393</c:v>
                </c:pt>
                <c:pt idx="30">
                  <c:v>7224.9359999999997</c:v>
                </c:pt>
                <c:pt idx="31">
                  <c:v>5425.1589999999997</c:v>
                </c:pt>
                <c:pt idx="32">
                  <c:v>4050.69</c:v>
                </c:pt>
                <c:pt idx="33">
                  <c:v>3004.3009999999999</c:v>
                </c:pt>
                <c:pt idx="34">
                  <c:v>2210.1840000000002</c:v>
                </c:pt>
                <c:pt idx="35">
                  <c:v>1611.6289999999999</c:v>
                </c:pt>
                <c:pt idx="36">
                  <c:v>1164.18</c:v>
                </c:pt>
                <c:pt idx="37">
                  <c:v>832.34519999999998</c:v>
                </c:pt>
                <c:pt idx="38">
                  <c:v>589.08500000000004</c:v>
                </c:pt>
                <c:pt idx="39">
                  <c:v>412.65679999999998</c:v>
                </c:pt>
                <c:pt idx="40">
                  <c:v>286.22559999999999</c:v>
                </c:pt>
                <c:pt idx="41">
                  <c:v>196.7225</c:v>
                </c:pt>
                <c:pt idx="42">
                  <c:v>133.99959999999999</c:v>
                </c:pt>
                <c:pt idx="43">
                  <c:v>90.544280000000001</c:v>
                </c:pt>
                <c:pt idx="44">
                  <c:v>60.710320000000003</c:v>
                </c:pt>
                <c:pt idx="45">
                  <c:v>40.39931</c:v>
                </c:pt>
                <c:pt idx="46">
                  <c:v>26.697859999999999</c:v>
                </c:pt>
                <c:pt idx="47">
                  <c:v>17.532219999999999</c:v>
                </c:pt>
                <c:pt idx="48">
                  <c:v>11.44833</c:v>
                </c:pt>
                <c:pt idx="49">
                  <c:v>7.4390590000000003</c:v>
                </c:pt>
                <c:pt idx="50">
                  <c:v>4.8134059999999996</c:v>
                </c:pt>
                <c:pt idx="51">
                  <c:v>3.1024910000000001</c:v>
                </c:pt>
                <c:pt idx="52">
                  <c:v>1.9925930000000001</c:v>
                </c:pt>
                <c:pt idx="53">
                  <c:v>1.2757700000000001</c:v>
                </c:pt>
                <c:pt idx="54">
                  <c:v>0.81481590000000004</c:v>
                </c:pt>
                <c:pt idx="55">
                  <c:v>0.51959029999999995</c:v>
                </c:pt>
                <c:pt idx="56">
                  <c:v>0.33126840000000002</c:v>
                </c:pt>
                <c:pt idx="57">
                  <c:v>0.21160670000000001</c:v>
                </c:pt>
                <c:pt idx="58">
                  <c:v>0.1358866</c:v>
                </c:pt>
                <c:pt idx="59">
                  <c:v>8.7980619999999995E-2</c:v>
                </c:pt>
                <c:pt idx="60">
                  <c:v>5.7246709999999999E-2</c:v>
                </c:pt>
                <c:pt idx="61">
                  <c:v>3.7266710000000002E-2</c:v>
                </c:pt>
                <c:pt idx="62">
                  <c:v>2.426004E-2</c:v>
                </c:pt>
                <c:pt idx="63">
                  <c:v>1.5792899999999999E-2</c:v>
                </c:pt>
                <c:pt idx="64">
                  <c:v>1.0280930000000001E-2</c:v>
                </c:pt>
                <c:pt idx="65">
                  <c:v>6.6927250000000001E-3</c:v>
                </c:pt>
                <c:pt idx="66">
                  <c:v>4.3568590000000003E-3</c:v>
                </c:pt>
                <c:pt idx="67">
                  <c:v>2.8362470000000001E-3</c:v>
                </c:pt>
                <c:pt idx="68">
                  <c:v>1.8463520000000001E-3</c:v>
                </c:pt>
                <c:pt idx="69">
                  <c:v>1.201946E-3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81-734F-9A1F-8031C50A8D7F}"/>
            </c:ext>
          </c:extLst>
        </c:ser>
        <c:ser>
          <c:idx val="4"/>
          <c:order val="4"/>
          <c:tx>
            <c:v>CO2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Sheet1!$DT$3:$DT$72</c:f>
              <c:numCache>
                <c:formatCode>0.00E+00</c:formatCode>
                <c:ptCount val="70"/>
                <c:pt idx="0">
                  <c:v>7.1655827920494446E-6</c:v>
                </c:pt>
                <c:pt idx="1">
                  <c:v>7.3622915372741455E-6</c:v>
                </c:pt>
                <c:pt idx="2">
                  <c:v>7.6993687113470786E-6</c:v>
                </c:pt>
                <c:pt idx="3">
                  <c:v>8.0181873250738793E-6</c:v>
                </c:pt>
                <c:pt idx="4">
                  <c:v>8.3105774052826801E-6</c:v>
                </c:pt>
                <c:pt idx="5">
                  <c:v>8.5625440733018129E-6</c:v>
                </c:pt>
                <c:pt idx="6">
                  <c:v>8.7696604663716811E-6</c:v>
                </c:pt>
                <c:pt idx="7">
                  <c:v>8.9328236954662166E-6</c:v>
                </c:pt>
                <c:pt idx="8">
                  <c:v>9.0570309989889354E-6</c:v>
                </c:pt>
                <c:pt idx="9">
                  <c:v>9.149133025068403E-6</c:v>
                </c:pt>
                <c:pt idx="10">
                  <c:v>9.2161772432168122E-6</c:v>
                </c:pt>
                <c:pt idx="11">
                  <c:v>9.2644763865331637E-6</c:v>
                </c:pt>
                <c:pt idx="12">
                  <c:v>9.2990939362989947E-6</c:v>
                </c:pt>
                <c:pt idx="13">
                  <c:v>9.3238239098867848E-6</c:v>
                </c:pt>
                <c:pt idx="14">
                  <c:v>9.3416526576161897E-6</c:v>
                </c:pt>
                <c:pt idx="15">
                  <c:v>9.3560237260662098E-6</c:v>
                </c:pt>
                <c:pt idx="16">
                  <c:v>9.3742519384213888E-6</c:v>
                </c:pt>
                <c:pt idx="17">
                  <c:v>9.4120209972139712E-6</c:v>
                </c:pt>
                <c:pt idx="18">
                  <c:v>9.4939519814641404E-6</c:v>
                </c:pt>
                <c:pt idx="19">
                  <c:v>9.6478432544244573E-6</c:v>
                </c:pt>
                <c:pt idx="20">
                  <c:v>9.8947433414750473E-6</c:v>
                </c:pt>
                <c:pt idx="21">
                  <c:v>1.0240218107455752E-5</c:v>
                </c:pt>
                <c:pt idx="22">
                  <c:v>1.0676955643153153E-5</c:v>
                </c:pt>
                <c:pt idx="23">
                  <c:v>1.1182915228283787E-5</c:v>
                </c:pt>
                <c:pt idx="24">
                  <c:v>1.1742197387748184E-5</c:v>
                </c:pt>
                <c:pt idx="25">
                  <c:v>1.2325590027386393E-5</c:v>
                </c:pt>
                <c:pt idx="26">
                  <c:v>1.2932236439826718E-5</c:v>
                </c:pt>
                <c:pt idx="27">
                  <c:v>1.3579348721811918E-5</c:v>
                </c:pt>
                <c:pt idx="28">
                  <c:v>1.4270172071006966E-5</c:v>
                </c:pt>
                <c:pt idx="29">
                  <c:v>1.4991626485907203E-5</c:v>
                </c:pt>
                <c:pt idx="30">
                  <c:v>1.5766828412031357E-5</c:v>
                </c:pt>
                <c:pt idx="31">
                  <c:v>1.667209825299171E-5</c:v>
                </c:pt>
                <c:pt idx="32">
                  <c:v>1.7791680492243046E-5</c:v>
                </c:pt>
                <c:pt idx="33">
                  <c:v>1.9181807183500058E-5</c:v>
                </c:pt>
                <c:pt idx="34">
                  <c:v>2.0919096479842511E-5</c:v>
                </c:pt>
                <c:pt idx="35">
                  <c:v>2.3108659962243728E-5</c:v>
                </c:pt>
                <c:pt idx="36">
                  <c:v>2.5679867464058341E-5</c:v>
                </c:pt>
                <c:pt idx="37">
                  <c:v>2.8625150796906911E-5</c:v>
                </c:pt>
                <c:pt idx="38">
                  <c:v>3.2017603432671292E-5</c:v>
                </c:pt>
                <c:pt idx="39">
                  <c:v>3.5704555130478602E-5</c:v>
                </c:pt>
                <c:pt idx="40">
                  <c:v>3.9618727125618098E-5</c:v>
                </c:pt>
                <c:pt idx="41">
                  <c:v>4.3869536493885358E-5</c:v>
                </c:pt>
                <c:pt idx="42">
                  <c:v>4.8265758296786731E-5</c:v>
                </c:pt>
                <c:pt idx="43">
                  <c:v>5.2704292149396494E-5</c:v>
                </c:pt>
                <c:pt idx="44">
                  <c:v>5.7334032075336104E-5</c:v>
                </c:pt>
                <c:pt idx="45">
                  <c:v>6.2142796645113703E-5</c:v>
                </c:pt>
                <c:pt idx="46">
                  <c:v>6.7064714382583478E-5</c:v>
                </c:pt>
                <c:pt idx="47">
                  <c:v>7.1877732183906105E-5</c:v>
                </c:pt>
                <c:pt idx="48">
                  <c:v>7.6284620121311184E-5</c:v>
                </c:pt>
                <c:pt idx="49">
                  <c:v>8.0328161869039203E-5</c:v>
                </c:pt>
                <c:pt idx="50">
                  <c:v>8.4178186270835202E-5</c:v>
                </c:pt>
                <c:pt idx="51">
                  <c:v>8.7946964053812191E-5</c:v>
                </c:pt>
                <c:pt idx="52">
                  <c:v>9.1544630350541895E-5</c:v>
                </c:pt>
                <c:pt idx="53">
                  <c:v>9.471856032878486E-5</c:v>
                </c:pt>
                <c:pt idx="54">
                  <c:v>9.7213522781945086E-5</c:v>
                </c:pt>
                <c:pt idx="55">
                  <c:v>9.8638882150538015E-5</c:v>
                </c:pt>
                <c:pt idx="56">
                  <c:v>9.83735971840318E-5</c:v>
                </c:pt>
                <c:pt idx="57">
                  <c:v>9.6794215583542102E-5</c:v>
                </c:pt>
                <c:pt idx="58">
                  <c:v>9.9347179590619959E-5</c:v>
                </c:pt>
                <c:pt idx="59">
                  <c:v>1.97745635413279E-4</c:v>
                </c:pt>
                <c:pt idx="60">
                  <c:v>2.1776400349715215E-4</c:v>
                </c:pt>
                <c:pt idx="61">
                  <c:v>1.1837992615785321E-4</c:v>
                </c:pt>
                <c:pt idx="62">
                  <c:v>1.6201473769484697E-6</c:v>
                </c:pt>
                <c:pt idx="63">
                  <c:v>1.6383145852586927E-8</c:v>
                </c:pt>
                <c:pt idx="64">
                  <c:v>1.2702663208891562E-9</c:v>
                </c:pt>
                <c:pt idx="65">
                  <c:v>2.2624280148370172E-10</c:v>
                </c:pt>
                <c:pt idx="66">
                  <c:v>4.263270014852742E-11</c:v>
                </c:pt>
                <c:pt idx="67">
                  <c:v>7.8175970741386385E-12</c:v>
                </c:pt>
                <c:pt idx="68">
                  <c:v>1.3734419361253752E-12</c:v>
                </c:pt>
                <c:pt idx="69">
                  <c:v>2.3406527580168592E-13</c:v>
                </c:pt>
              </c:numCache>
            </c:numRef>
          </c:xVal>
          <c:yVal>
            <c:numRef>
              <c:f>Sheet1!$E$3:$E$72</c:f>
              <c:numCache>
                <c:formatCode>0.00E+00</c:formatCode>
                <c:ptCount val="70"/>
                <c:pt idx="0">
                  <c:v>9011789</c:v>
                </c:pt>
                <c:pt idx="1">
                  <c:v>7301843</c:v>
                </c:pt>
                <c:pt idx="2">
                  <c:v>5890654</c:v>
                </c:pt>
                <c:pt idx="3">
                  <c:v>4735213</c:v>
                </c:pt>
                <c:pt idx="4">
                  <c:v>3795797</c:v>
                </c:pt>
                <c:pt idx="5">
                  <c:v>3035830</c:v>
                </c:pt>
                <c:pt idx="6">
                  <c:v>2423617</c:v>
                </c:pt>
                <c:pt idx="7">
                  <c:v>1932142</c:v>
                </c:pt>
                <c:pt idx="8">
                  <c:v>1538677</c:v>
                </c:pt>
                <c:pt idx="9">
                  <c:v>1224348</c:v>
                </c:pt>
                <c:pt idx="10">
                  <c:v>973646.9</c:v>
                </c:pt>
                <c:pt idx="11">
                  <c:v>773935</c:v>
                </c:pt>
                <c:pt idx="12">
                  <c:v>614985.69999999995</c:v>
                </c:pt>
                <c:pt idx="13">
                  <c:v>488561.8</c:v>
                </c:pt>
                <c:pt idx="14">
                  <c:v>388057</c:v>
                </c:pt>
                <c:pt idx="15">
                  <c:v>308183.59999999998</c:v>
                </c:pt>
                <c:pt idx="16">
                  <c:v>244711</c:v>
                </c:pt>
                <c:pt idx="17">
                  <c:v>194251.8</c:v>
                </c:pt>
                <c:pt idx="18">
                  <c:v>154093.70000000001</c:v>
                </c:pt>
                <c:pt idx="19">
                  <c:v>122077.6</c:v>
                </c:pt>
                <c:pt idx="20">
                  <c:v>96503.71</c:v>
                </c:pt>
                <c:pt idx="21">
                  <c:v>76049.52</c:v>
                </c:pt>
                <c:pt idx="22">
                  <c:v>59691.91</c:v>
                </c:pt>
                <c:pt idx="23">
                  <c:v>46637.2</c:v>
                </c:pt>
                <c:pt idx="24">
                  <c:v>36259.56</c:v>
                </c:pt>
                <c:pt idx="25">
                  <c:v>28052.43</c:v>
                </c:pt>
                <c:pt idx="26">
                  <c:v>21597.45</c:v>
                </c:pt>
                <c:pt idx="27">
                  <c:v>16547.64</c:v>
                </c:pt>
                <c:pt idx="28">
                  <c:v>12617.58</c:v>
                </c:pt>
                <c:pt idx="29">
                  <c:v>9572.393</c:v>
                </c:pt>
                <c:pt idx="30">
                  <c:v>7224.9359999999997</c:v>
                </c:pt>
                <c:pt idx="31">
                  <c:v>5425.1589999999997</c:v>
                </c:pt>
                <c:pt idx="32">
                  <c:v>4050.69</c:v>
                </c:pt>
                <c:pt idx="33">
                  <c:v>3004.3009999999999</c:v>
                </c:pt>
                <c:pt idx="34">
                  <c:v>2210.1840000000002</c:v>
                </c:pt>
                <c:pt idx="35">
                  <c:v>1611.6289999999999</c:v>
                </c:pt>
                <c:pt idx="36">
                  <c:v>1164.18</c:v>
                </c:pt>
                <c:pt idx="37">
                  <c:v>832.34519999999998</c:v>
                </c:pt>
                <c:pt idx="38">
                  <c:v>589.08500000000004</c:v>
                </c:pt>
                <c:pt idx="39">
                  <c:v>412.65679999999998</c:v>
                </c:pt>
                <c:pt idx="40">
                  <c:v>286.22559999999999</c:v>
                </c:pt>
                <c:pt idx="41">
                  <c:v>196.7225</c:v>
                </c:pt>
                <c:pt idx="42">
                  <c:v>133.99959999999999</c:v>
                </c:pt>
                <c:pt idx="43">
                  <c:v>90.544280000000001</c:v>
                </c:pt>
                <c:pt idx="44">
                  <c:v>60.710320000000003</c:v>
                </c:pt>
                <c:pt idx="45">
                  <c:v>40.39931</c:v>
                </c:pt>
                <c:pt idx="46">
                  <c:v>26.697859999999999</c:v>
                </c:pt>
                <c:pt idx="47">
                  <c:v>17.532219999999999</c:v>
                </c:pt>
                <c:pt idx="48">
                  <c:v>11.44833</c:v>
                </c:pt>
                <c:pt idx="49">
                  <c:v>7.4390590000000003</c:v>
                </c:pt>
                <c:pt idx="50">
                  <c:v>4.8134059999999996</c:v>
                </c:pt>
                <c:pt idx="51">
                  <c:v>3.1024910000000001</c:v>
                </c:pt>
                <c:pt idx="52">
                  <c:v>1.9925930000000001</c:v>
                </c:pt>
                <c:pt idx="53">
                  <c:v>1.2757700000000001</c:v>
                </c:pt>
                <c:pt idx="54">
                  <c:v>0.81481590000000004</c:v>
                </c:pt>
                <c:pt idx="55">
                  <c:v>0.51959029999999995</c:v>
                </c:pt>
                <c:pt idx="56">
                  <c:v>0.33126840000000002</c:v>
                </c:pt>
                <c:pt idx="57">
                  <c:v>0.21160670000000001</c:v>
                </c:pt>
                <c:pt idx="58">
                  <c:v>0.1358866</c:v>
                </c:pt>
                <c:pt idx="59">
                  <c:v>8.7980619999999995E-2</c:v>
                </c:pt>
                <c:pt idx="60">
                  <c:v>5.7246709999999999E-2</c:v>
                </c:pt>
                <c:pt idx="61">
                  <c:v>3.7266710000000002E-2</c:v>
                </c:pt>
                <c:pt idx="62">
                  <c:v>2.426004E-2</c:v>
                </c:pt>
                <c:pt idx="63">
                  <c:v>1.5792899999999999E-2</c:v>
                </c:pt>
                <c:pt idx="64">
                  <c:v>1.0280930000000001E-2</c:v>
                </c:pt>
                <c:pt idx="65">
                  <c:v>6.6927250000000001E-3</c:v>
                </c:pt>
                <c:pt idx="66">
                  <c:v>4.3568590000000003E-3</c:v>
                </c:pt>
                <c:pt idx="67">
                  <c:v>2.8362470000000001E-3</c:v>
                </c:pt>
                <c:pt idx="68">
                  <c:v>1.8463520000000001E-3</c:v>
                </c:pt>
                <c:pt idx="69">
                  <c:v>1.201946E-3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481-734F-9A1F-8031C50A8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748992"/>
        <c:axId val="1226861328"/>
      </c:scatterChart>
      <c:valAx>
        <c:axId val="1214748992"/>
        <c:scaling>
          <c:logBase val="10"/>
          <c:orientation val="minMax"/>
          <c:min val="9.9999999999999998E-1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861328"/>
        <c:crosses val="autoZero"/>
        <c:crossBetween val="midCat"/>
      </c:valAx>
      <c:valAx>
        <c:axId val="1226861328"/>
        <c:scaling>
          <c:logBase val="10"/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74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660400</xdr:colOff>
      <xdr:row>12</xdr:row>
      <xdr:rowOff>152400</xdr:rowOff>
    </xdr:from>
    <xdr:to>
      <xdr:col>7</xdr:col>
      <xdr:colOff>381000</xdr:colOff>
      <xdr:row>32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FD2603-0804-A38F-3835-BC47A5B32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21</xdr:col>
      <xdr:colOff>457200</xdr:colOff>
      <xdr:row>35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87A65C-F6D2-5A42-AD02-F4343DB14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2598-95EE-3B4F-AA02-9AE8FEE743D2}">
  <dimension ref="A1:HW72"/>
  <sheetViews>
    <sheetView tabSelected="1" topLeftCell="D1" workbookViewId="0">
      <selection activeCell="V6" sqref="V6"/>
    </sheetView>
  </sheetViews>
  <sheetFormatPr baseColWidth="10" defaultRowHeight="16" x14ac:dyDescent="0.2"/>
  <sheetData>
    <row r="1" spans="1:2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  <c r="AQ1">
        <v>38</v>
      </c>
      <c r="AR1">
        <v>39</v>
      </c>
      <c r="AS1">
        <v>40</v>
      </c>
      <c r="AT1">
        <v>41</v>
      </c>
      <c r="AU1">
        <v>42</v>
      </c>
      <c r="AV1">
        <v>43</v>
      </c>
      <c r="AW1">
        <v>44</v>
      </c>
      <c r="AX1">
        <v>45</v>
      </c>
      <c r="AY1">
        <v>46</v>
      </c>
      <c r="AZ1">
        <v>47</v>
      </c>
      <c r="BA1">
        <v>48</v>
      </c>
      <c r="BB1">
        <v>49</v>
      </c>
      <c r="BC1">
        <v>50</v>
      </c>
      <c r="BD1">
        <v>51</v>
      </c>
      <c r="BE1">
        <v>52</v>
      </c>
      <c r="BF1">
        <v>53</v>
      </c>
      <c r="BG1">
        <v>54</v>
      </c>
      <c r="BH1">
        <v>55</v>
      </c>
      <c r="BI1">
        <v>56</v>
      </c>
      <c r="BJ1">
        <v>57</v>
      </c>
      <c r="BK1">
        <v>58</v>
      </c>
      <c r="BL1">
        <v>59</v>
      </c>
      <c r="BM1">
        <v>60</v>
      </c>
      <c r="BN1">
        <v>61</v>
      </c>
      <c r="BO1">
        <v>62</v>
      </c>
      <c r="BP1">
        <v>63</v>
      </c>
      <c r="BQ1">
        <v>64</v>
      </c>
      <c r="BR1">
        <v>65</v>
      </c>
      <c r="BS1">
        <v>66</v>
      </c>
      <c r="BT1">
        <v>67</v>
      </c>
      <c r="BU1">
        <v>68</v>
      </c>
      <c r="BV1">
        <v>69</v>
      </c>
      <c r="BW1">
        <v>70</v>
      </c>
      <c r="BX1">
        <v>71</v>
      </c>
      <c r="BY1">
        <v>72</v>
      </c>
      <c r="BZ1">
        <v>73</v>
      </c>
      <c r="CA1">
        <v>74</v>
      </c>
      <c r="CB1">
        <v>75</v>
      </c>
      <c r="CC1">
        <v>76</v>
      </c>
      <c r="CD1">
        <v>77</v>
      </c>
      <c r="CE1">
        <v>78</v>
      </c>
      <c r="CF1">
        <v>79</v>
      </c>
      <c r="CG1">
        <v>80</v>
      </c>
      <c r="CH1">
        <v>81</v>
      </c>
      <c r="CI1">
        <v>82</v>
      </c>
      <c r="CJ1">
        <v>83</v>
      </c>
      <c r="CK1">
        <v>84</v>
      </c>
      <c r="CL1">
        <v>85</v>
      </c>
      <c r="CM1">
        <v>86</v>
      </c>
      <c r="CN1">
        <v>87</v>
      </c>
      <c r="CO1">
        <v>88</v>
      </c>
      <c r="CP1">
        <v>89</v>
      </c>
      <c r="CQ1">
        <v>90</v>
      </c>
      <c r="CR1">
        <v>91</v>
      </c>
      <c r="CS1">
        <v>92</v>
      </c>
      <c r="CT1">
        <v>93</v>
      </c>
      <c r="CU1">
        <v>94</v>
      </c>
      <c r="CV1">
        <v>95</v>
      </c>
      <c r="CW1">
        <v>96</v>
      </c>
      <c r="CX1">
        <v>97</v>
      </c>
      <c r="CY1">
        <v>98</v>
      </c>
      <c r="CZ1">
        <v>99</v>
      </c>
      <c r="DA1">
        <v>100</v>
      </c>
      <c r="DB1">
        <v>101</v>
      </c>
      <c r="DC1">
        <v>102</v>
      </c>
      <c r="DD1">
        <v>103</v>
      </c>
      <c r="DE1">
        <v>104</v>
      </c>
      <c r="DF1">
        <v>105</v>
      </c>
      <c r="DG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P1" t="s">
        <v>8</v>
      </c>
      <c r="DQ1" t="s">
        <v>9</v>
      </c>
      <c r="DR1" t="s">
        <v>10</v>
      </c>
      <c r="DS1" t="s">
        <v>11</v>
      </c>
      <c r="DT1" t="s">
        <v>12</v>
      </c>
      <c r="EQ1">
        <v>69</v>
      </c>
      <c r="ES1">
        <v>70</v>
      </c>
      <c r="EU1">
        <v>71</v>
      </c>
      <c r="EW1">
        <v>72</v>
      </c>
      <c r="EY1">
        <v>73</v>
      </c>
      <c r="FA1">
        <v>74</v>
      </c>
      <c r="FC1">
        <v>75</v>
      </c>
      <c r="FE1">
        <v>76</v>
      </c>
      <c r="FG1">
        <v>77</v>
      </c>
      <c r="FI1">
        <v>78</v>
      </c>
      <c r="FK1">
        <v>79</v>
      </c>
      <c r="FM1">
        <v>80</v>
      </c>
      <c r="FO1">
        <v>81</v>
      </c>
      <c r="FQ1">
        <v>82</v>
      </c>
      <c r="FS1">
        <v>83</v>
      </c>
      <c r="FU1">
        <v>84</v>
      </c>
      <c r="FW1">
        <v>85</v>
      </c>
      <c r="FY1">
        <v>86</v>
      </c>
      <c r="GA1">
        <v>87</v>
      </c>
      <c r="GC1">
        <v>88</v>
      </c>
      <c r="GE1">
        <v>89</v>
      </c>
      <c r="GG1">
        <v>90</v>
      </c>
      <c r="GI1">
        <v>91</v>
      </c>
      <c r="GK1">
        <v>92</v>
      </c>
      <c r="GM1">
        <v>93</v>
      </c>
      <c r="GO1">
        <v>94</v>
      </c>
      <c r="GQ1">
        <v>95</v>
      </c>
      <c r="GS1">
        <v>96</v>
      </c>
      <c r="GU1">
        <v>97</v>
      </c>
      <c r="GW1">
        <v>98</v>
      </c>
      <c r="GY1">
        <v>99</v>
      </c>
      <c r="HA1">
        <v>100</v>
      </c>
      <c r="HC1">
        <v>101</v>
      </c>
      <c r="HE1">
        <v>102</v>
      </c>
      <c r="HG1">
        <v>103</v>
      </c>
      <c r="HI1">
        <v>104</v>
      </c>
      <c r="HK1">
        <v>105</v>
      </c>
      <c r="HM1">
        <v>106</v>
      </c>
      <c r="HO1">
        <v>107</v>
      </c>
      <c r="HQ1">
        <v>108</v>
      </c>
      <c r="HS1">
        <v>109</v>
      </c>
      <c r="HU1">
        <v>110</v>
      </c>
      <c r="HW1">
        <v>111</v>
      </c>
    </row>
    <row r="2" spans="1:231" x14ac:dyDescent="0.2">
      <c r="A2" t="s">
        <v>5</v>
      </c>
      <c r="B2" t="s">
        <v>5</v>
      </c>
      <c r="C2" t="s">
        <v>5</v>
      </c>
      <c r="D2" t="s">
        <v>6</v>
      </c>
      <c r="E2" t="s">
        <v>7</v>
      </c>
    </row>
    <row r="3" spans="1:231" x14ac:dyDescent="0.2">
      <c r="A3">
        <v>143.83264199999999</v>
      </c>
      <c r="B3">
        <v>0</v>
      </c>
      <c r="C3">
        <v>287.66528399999999</v>
      </c>
      <c r="D3">
        <v>1788.8793519999999</v>
      </c>
      <c r="E3" s="1">
        <v>9011789</v>
      </c>
      <c r="F3" s="1">
        <v>224126700</v>
      </c>
      <c r="G3" s="1">
        <v>9.4614900000000002E-9</v>
      </c>
      <c r="H3" s="1">
        <v>1.163564E+16</v>
      </c>
      <c r="I3" s="1">
        <v>7845616000000</v>
      </c>
      <c r="J3" s="1">
        <v>29098.47</v>
      </c>
      <c r="K3" s="1">
        <v>1371488</v>
      </c>
      <c r="L3" s="1">
        <v>3.159567E+18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4456.1689999999999</v>
      </c>
      <c r="Y3" s="1">
        <v>8.042008E+17</v>
      </c>
      <c r="Z3" s="1">
        <v>1.000924E+17</v>
      </c>
      <c r="AA3" s="1">
        <v>43466820000000</v>
      </c>
      <c r="AB3" s="1">
        <v>1528422</v>
      </c>
      <c r="AC3" s="1">
        <v>684119800000</v>
      </c>
      <c r="AD3" s="1">
        <v>9.1170460000000001E-6</v>
      </c>
      <c r="AE3" s="1">
        <v>0.61658579999999996</v>
      </c>
      <c r="AF3" s="1">
        <v>1893405000000</v>
      </c>
      <c r="AG3" s="1">
        <v>844029000</v>
      </c>
      <c r="AH3" s="1">
        <v>3245105000000</v>
      </c>
      <c r="AI3" s="1">
        <v>1267360000</v>
      </c>
      <c r="AJ3" s="1">
        <v>49058660</v>
      </c>
      <c r="AK3" s="1">
        <v>10481920</v>
      </c>
      <c r="AL3" s="1">
        <v>12779410</v>
      </c>
      <c r="AM3" s="1">
        <v>73473970</v>
      </c>
      <c r="AN3" s="1">
        <v>120655.4</v>
      </c>
      <c r="AO3" s="1">
        <v>2272.0169999999998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2236561000000000</v>
      </c>
      <c r="BF3" s="1">
        <v>3.080476E+20</v>
      </c>
      <c r="BG3" s="1">
        <v>1022912</v>
      </c>
      <c r="BH3" s="1">
        <v>0</v>
      </c>
      <c r="BI3" s="1">
        <v>378.03750000000002</v>
      </c>
      <c r="BJ3" s="1">
        <v>0</v>
      </c>
      <c r="BK3" s="1">
        <v>630314</v>
      </c>
      <c r="BL3" s="1">
        <v>4951951000</v>
      </c>
      <c r="BM3" s="1">
        <v>93514390000000</v>
      </c>
      <c r="BN3" s="1">
        <v>1344756000000</v>
      </c>
      <c r="BO3" s="1">
        <v>97002540</v>
      </c>
      <c r="BP3" s="1">
        <v>285483300</v>
      </c>
      <c r="BQ3" s="1">
        <v>74468970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3.058576E-2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139717200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N3" s="1">
        <f>SUM(F3:DL3)</f>
        <v>3.1212548440324643E+20</v>
      </c>
      <c r="DP3" s="1">
        <f>H3/DN3</f>
        <v>3.7278724684228239E-5</v>
      </c>
      <c r="DQ3" s="1">
        <f>BF3/DN3</f>
        <v>0.98693511229612363</v>
      </c>
      <c r="DR3" s="1">
        <f>Z3/DN3</f>
        <v>3.2067999891571472E-4</v>
      </c>
      <c r="DS3" s="1">
        <f>Y3/DN3</f>
        <v>2.5765304026281409E-3</v>
      </c>
      <c r="DT3" s="1">
        <f>BE3/DN3</f>
        <v>7.1655827920494446E-6</v>
      </c>
    </row>
    <row r="4" spans="1:231" x14ac:dyDescent="0.2">
      <c r="A4">
        <v>431.49792600000001</v>
      </c>
      <c r="B4">
        <v>287.66528399999999</v>
      </c>
      <c r="C4">
        <v>575.33056799999997</v>
      </c>
      <c r="D4">
        <v>1751.177966</v>
      </c>
      <c r="E4" s="1">
        <v>7301843</v>
      </c>
      <c r="F4" s="1">
        <v>108081300</v>
      </c>
      <c r="G4" s="1">
        <v>2.5218400000000001E-9</v>
      </c>
      <c r="H4" s="1">
        <v>7643188000000000</v>
      </c>
      <c r="I4" s="1">
        <v>4705230000000</v>
      </c>
      <c r="J4" s="1">
        <v>12682.18</v>
      </c>
      <c r="K4" s="1">
        <v>659271.6</v>
      </c>
      <c r="L4" s="1">
        <v>2.609701E+18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1595.0550000000001</v>
      </c>
      <c r="Y4" s="1">
        <v>6.710111E+17</v>
      </c>
      <c r="Z4" s="1">
        <v>7.744841E+16</v>
      </c>
      <c r="AA4" s="1">
        <v>29862890000000</v>
      </c>
      <c r="AB4" s="1">
        <v>1045653</v>
      </c>
      <c r="AC4" s="1">
        <v>443641000000</v>
      </c>
      <c r="AD4" s="1">
        <v>3.5476020000000002E-6</v>
      </c>
      <c r="AE4" s="1">
        <v>0.18554519999999999</v>
      </c>
      <c r="AF4" s="1">
        <v>1141039000000</v>
      </c>
      <c r="AG4" s="1">
        <v>417206900</v>
      </c>
      <c r="AH4" s="1">
        <v>2080213000000</v>
      </c>
      <c r="AI4" s="1">
        <v>660860700</v>
      </c>
      <c r="AJ4" s="1">
        <v>31071810</v>
      </c>
      <c r="AK4" s="1">
        <v>5171941</v>
      </c>
      <c r="AL4" s="1">
        <v>8398287</v>
      </c>
      <c r="AM4" s="1">
        <v>39186450</v>
      </c>
      <c r="AN4" s="1">
        <v>60889.94</v>
      </c>
      <c r="AO4" s="1">
        <v>982.92989999999998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1902090000000000</v>
      </c>
      <c r="BF4" s="1">
        <v>2.5498790000000002E+20</v>
      </c>
      <c r="BG4" s="1">
        <v>492790.1</v>
      </c>
      <c r="BH4" s="1">
        <v>0</v>
      </c>
      <c r="BI4" s="1">
        <v>138.4855</v>
      </c>
      <c r="BJ4" s="1">
        <v>0</v>
      </c>
      <c r="BK4" s="1">
        <v>246206.6</v>
      </c>
      <c r="BL4" s="1">
        <v>2347963000</v>
      </c>
      <c r="BM4" s="1">
        <v>57383740000000</v>
      </c>
      <c r="BN4" s="1">
        <v>803056500000</v>
      </c>
      <c r="BO4" s="1">
        <v>48562980</v>
      </c>
      <c r="BP4" s="1">
        <v>162738500</v>
      </c>
      <c r="BQ4" s="1">
        <v>34488900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1.0710920000000001E-2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62479940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N4" s="1">
        <f t="shared" ref="DN4:DN67" si="0">SUM(F4:DL4)</f>
        <v>2.5835570221173827E+20</v>
      </c>
      <c r="DP4" s="1">
        <f t="shared" ref="DP4:DQ62" si="1">H4/DN4</f>
        <v>2.9583972540834189E-5</v>
      </c>
      <c r="DQ4" s="1">
        <f t="shared" ref="DQ4:DQ67" si="2">BF4/DN4</f>
        <v>0.98696447501291018</v>
      </c>
      <c r="DR4" s="1">
        <f t="shared" ref="DR4:DR67" si="3">Z4/DN4</f>
        <v>2.9977433955193409E-4</v>
      </c>
      <c r="DS4" s="1">
        <f t="shared" ref="DS4:DS67" si="4">Y4/DN4</f>
        <v>2.597237429851908E-3</v>
      </c>
      <c r="DT4" s="1">
        <f t="shared" ref="DT4:DT67" si="5">BE4/DN4</f>
        <v>7.3622915372741455E-6</v>
      </c>
    </row>
    <row r="5" spans="1:231" x14ac:dyDescent="0.2">
      <c r="A5">
        <v>719.16321100000005</v>
      </c>
      <c r="B5">
        <v>575.33056799999997</v>
      </c>
      <c r="C5">
        <v>862.99585300000001</v>
      </c>
      <c r="D5">
        <v>1720.546237</v>
      </c>
      <c r="E5" s="1">
        <v>5890654</v>
      </c>
      <c r="F5" s="1">
        <v>59039780</v>
      </c>
      <c r="G5" s="1">
        <v>8.4581219999999998E-10</v>
      </c>
      <c r="H5" s="1">
        <v>5300971000000000</v>
      </c>
      <c r="I5" s="1">
        <v>3013004000000</v>
      </c>
      <c r="J5" s="1">
        <v>6243.2719999999999</v>
      </c>
      <c r="K5" s="1">
        <v>345509.9</v>
      </c>
      <c r="L5" s="1">
        <v>2.134771E+18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653.36329999999998</v>
      </c>
      <c r="Y5" s="1">
        <v>5.588763E+17</v>
      </c>
      <c r="Z5" s="1">
        <v>5.56274E+16</v>
      </c>
      <c r="AA5" s="1">
        <v>20341720000000</v>
      </c>
      <c r="AB5" s="1">
        <v>710404.2</v>
      </c>
      <c r="AC5" s="1">
        <v>274043700000</v>
      </c>
      <c r="AD5" s="1">
        <v>1.443438E-6</v>
      </c>
      <c r="AE5" s="1">
        <v>6.3883629999999997E-2</v>
      </c>
      <c r="AF5" s="1">
        <v>670029000000</v>
      </c>
      <c r="AG5" s="1">
        <v>204437200</v>
      </c>
      <c r="AH5" s="1">
        <v>1236691000000</v>
      </c>
      <c r="AI5" s="1">
        <v>326242100</v>
      </c>
      <c r="AJ5" s="1">
        <v>17724550</v>
      </c>
      <c r="AK5" s="1">
        <v>2627040</v>
      </c>
      <c r="AL5" s="1">
        <v>5327679</v>
      </c>
      <c r="AM5" s="1">
        <v>20485270</v>
      </c>
      <c r="AN5" s="1">
        <v>30058.48</v>
      </c>
      <c r="AO5" s="1">
        <v>414.5523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1633427000000000</v>
      </c>
      <c r="BF5" s="1">
        <v>2.0939449999999998E+20</v>
      </c>
      <c r="BG5" s="1">
        <v>269381.5</v>
      </c>
      <c r="BH5" s="1">
        <v>0</v>
      </c>
      <c r="BI5" s="1">
        <v>60.038980000000002</v>
      </c>
      <c r="BJ5" s="1">
        <v>0</v>
      </c>
      <c r="BK5" s="1">
        <v>105815.8</v>
      </c>
      <c r="BL5" s="1">
        <v>1175264000</v>
      </c>
      <c r="BM5" s="1">
        <v>34784300000000</v>
      </c>
      <c r="BN5" s="1">
        <v>498901100000</v>
      </c>
      <c r="BO5" s="1">
        <v>24978210</v>
      </c>
      <c r="BP5" s="1">
        <v>97163860</v>
      </c>
      <c r="BQ5" s="1">
        <v>16646930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4.0895139999999998E-3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29765250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N5" s="1">
        <f t="shared" si="0"/>
        <v>2.1215076991866991E+20</v>
      </c>
      <c r="DP5" s="1">
        <f t="shared" si="1"/>
        <v>2.4986810097517816E-5</v>
      </c>
      <c r="DQ5" s="1">
        <f t="shared" si="2"/>
        <v>0.98700796645835143</v>
      </c>
      <c r="DR5" s="1">
        <f t="shared" si="3"/>
        <v>2.6220692020738513E-4</v>
      </c>
      <c r="DS5" s="1">
        <f t="shared" si="4"/>
        <v>2.6343354785573051E-3</v>
      </c>
      <c r="DT5" s="1">
        <f t="shared" si="5"/>
        <v>7.6993687113470786E-6</v>
      </c>
    </row>
    <row r="6" spans="1:231" x14ac:dyDescent="0.2">
      <c r="A6">
        <v>1006.828495</v>
      </c>
      <c r="B6">
        <v>862.99585300000001</v>
      </c>
      <c r="C6">
        <v>1150.6611370000001</v>
      </c>
      <c r="D6">
        <v>1696.020951</v>
      </c>
      <c r="E6" s="1">
        <v>4735213</v>
      </c>
      <c r="F6" s="1">
        <v>35758680</v>
      </c>
      <c r="G6" s="1">
        <v>3.4136230000000001E-10</v>
      </c>
      <c r="H6" s="1">
        <v>3837574000000000</v>
      </c>
      <c r="I6" s="1">
        <v>2039014000000</v>
      </c>
      <c r="J6" s="1">
        <v>3395.078</v>
      </c>
      <c r="K6" s="1">
        <v>193871.8</v>
      </c>
      <c r="L6" s="1">
        <v>1.7331E+18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301.72699999999998</v>
      </c>
      <c r="Y6" s="1">
        <v>4.63398E+17</v>
      </c>
      <c r="Z6" s="1">
        <v>3.766975E+16</v>
      </c>
      <c r="AA6" s="1">
        <v>13713870000000</v>
      </c>
      <c r="AB6" s="1">
        <v>477305.59999999998</v>
      </c>
      <c r="AC6" s="1">
        <v>163593300000</v>
      </c>
      <c r="AD6" s="1">
        <v>6.0944310000000001E-7</v>
      </c>
      <c r="AE6" s="1">
        <v>2.4686380000000001E-2</v>
      </c>
      <c r="AF6" s="1">
        <v>386533600000</v>
      </c>
      <c r="AG6" s="1">
        <v>99499200</v>
      </c>
      <c r="AH6" s="1">
        <v>691988000000</v>
      </c>
      <c r="AI6" s="1">
        <v>153389800</v>
      </c>
      <c r="AJ6" s="1">
        <v>9202226</v>
      </c>
      <c r="AK6" s="1">
        <v>1370051</v>
      </c>
      <c r="AL6" s="1">
        <v>3271553</v>
      </c>
      <c r="AM6" s="1">
        <v>10504150</v>
      </c>
      <c r="AN6" s="1">
        <v>14405.02</v>
      </c>
      <c r="AO6" s="1">
        <v>170.91210000000001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1387299000000000</v>
      </c>
      <c r="BF6" s="1">
        <v>1.707796E+20</v>
      </c>
      <c r="BG6" s="1">
        <v>163027.29999999999</v>
      </c>
      <c r="BH6" s="1">
        <v>0</v>
      </c>
      <c r="BI6" s="1">
        <v>30.039850000000001</v>
      </c>
      <c r="BJ6" s="1">
        <v>0</v>
      </c>
      <c r="BK6" s="1">
        <v>49821.54</v>
      </c>
      <c r="BL6" s="1">
        <v>614976500</v>
      </c>
      <c r="BM6" s="1">
        <v>20893170000000</v>
      </c>
      <c r="BN6" s="1">
        <v>318096200000</v>
      </c>
      <c r="BO6" s="1">
        <v>13081940</v>
      </c>
      <c r="BP6" s="1">
        <v>59872280</v>
      </c>
      <c r="BQ6" s="1">
        <v>8334107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1.6720120000000001E-3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14951120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N6" s="1">
        <f t="shared" si="0"/>
        <v>1.7301903083029024E+20</v>
      </c>
      <c r="DP6" s="1">
        <f t="shared" si="1"/>
        <v>2.2180068756506759E-5</v>
      </c>
      <c r="DQ6" s="1">
        <f t="shared" si="2"/>
        <v>0.98705673694076557</v>
      </c>
      <c r="DR6" s="1">
        <f t="shared" si="3"/>
        <v>2.1772026937862839E-4</v>
      </c>
      <c r="DS6" s="1">
        <f t="shared" si="4"/>
        <v>2.6783065294969472E-3</v>
      </c>
      <c r="DT6" s="1">
        <f t="shared" si="5"/>
        <v>8.0181873250738793E-6</v>
      </c>
    </row>
    <row r="7" spans="1:231" x14ac:dyDescent="0.2">
      <c r="A7">
        <v>1294.4937789999999</v>
      </c>
      <c r="B7">
        <v>1150.6611370000001</v>
      </c>
      <c r="C7">
        <v>1438.326421</v>
      </c>
      <c r="D7">
        <v>1676.4755190000001</v>
      </c>
      <c r="E7" s="1">
        <v>3795797</v>
      </c>
      <c r="F7" s="1">
        <v>23711010</v>
      </c>
      <c r="G7" s="1">
        <v>1.6216080000000001E-10</v>
      </c>
      <c r="H7" s="1">
        <v>2884888000000000</v>
      </c>
      <c r="I7" s="1">
        <v>1448946000000</v>
      </c>
      <c r="J7" s="1">
        <v>2016.126</v>
      </c>
      <c r="K7" s="1">
        <v>115633.9</v>
      </c>
      <c r="L7" s="1">
        <v>1.399078E+18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154.3057</v>
      </c>
      <c r="Y7" s="1">
        <v>3.821059E+17</v>
      </c>
      <c r="Z7" s="1">
        <v>2.4204E+16</v>
      </c>
      <c r="AA7" s="1">
        <v>9152655000000</v>
      </c>
      <c r="AB7" s="1">
        <v>317568.7</v>
      </c>
      <c r="AC7" s="1">
        <v>94712430000</v>
      </c>
      <c r="AD7" s="1">
        <v>2.657914E-7</v>
      </c>
      <c r="AE7" s="1">
        <v>1.04974E-2</v>
      </c>
      <c r="AF7" s="1">
        <v>218735100000</v>
      </c>
      <c r="AG7" s="1">
        <v>47957140</v>
      </c>
      <c r="AH7" s="1">
        <v>366083700000</v>
      </c>
      <c r="AI7" s="1">
        <v>68903160</v>
      </c>
      <c r="AJ7" s="1">
        <v>4389144</v>
      </c>
      <c r="AK7" s="1">
        <v>728513</v>
      </c>
      <c r="AL7" s="1">
        <v>1946332</v>
      </c>
      <c r="AM7" s="1">
        <v>5280536</v>
      </c>
      <c r="AN7" s="1">
        <v>6710.9279999999999</v>
      </c>
      <c r="AO7" s="1">
        <v>68.930769999999995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1166169000000000</v>
      </c>
      <c r="BF7" s="1">
        <v>1.38514E+20</v>
      </c>
      <c r="BG7" s="1">
        <v>107934</v>
      </c>
      <c r="BH7" s="1">
        <v>0</v>
      </c>
      <c r="BI7" s="1">
        <v>17.03716</v>
      </c>
      <c r="BJ7" s="1">
        <v>0</v>
      </c>
      <c r="BK7" s="1">
        <v>25342.07</v>
      </c>
      <c r="BL7" s="1">
        <v>333810000</v>
      </c>
      <c r="BM7" s="1">
        <v>12429180000000</v>
      </c>
      <c r="BN7" s="1">
        <v>207143700000</v>
      </c>
      <c r="BO7" s="1">
        <v>6955418</v>
      </c>
      <c r="BP7" s="1">
        <v>37896780</v>
      </c>
      <c r="BQ7" s="1">
        <v>4288589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7.2562359999999999E-4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7848115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N7" s="1">
        <f t="shared" si="0"/>
        <v>1.4032346287500024E+20</v>
      </c>
      <c r="DP7" s="1">
        <f t="shared" si="1"/>
        <v>2.055884269738875E-5</v>
      </c>
      <c r="DQ7" s="1">
        <f t="shared" si="2"/>
        <v>0.9871050582851415</v>
      </c>
      <c r="DR7" s="1">
        <f t="shared" si="3"/>
        <v>1.7248719140833103E-4</v>
      </c>
      <c r="DS7" s="1">
        <f t="shared" si="4"/>
        <v>2.7230364200773673E-3</v>
      </c>
      <c r="DT7" s="1">
        <f t="shared" si="5"/>
        <v>8.3105774052826801E-6</v>
      </c>
    </row>
    <row r="8" spans="1:231" x14ac:dyDescent="0.2">
      <c r="A8">
        <v>1582.1590630000001</v>
      </c>
      <c r="B8">
        <v>1438.326421</v>
      </c>
      <c r="C8">
        <v>1725.9917049999999</v>
      </c>
      <c r="D8">
        <v>1661.1441560000001</v>
      </c>
      <c r="E8" s="1">
        <v>3035830</v>
      </c>
      <c r="F8" s="1">
        <v>17051200</v>
      </c>
      <c r="G8" s="1">
        <v>8.9175789999999996E-11</v>
      </c>
      <c r="H8" s="1">
        <v>2242770000000000</v>
      </c>
      <c r="I8" s="1">
        <v>1076169000000</v>
      </c>
      <c r="J8" s="1">
        <v>1296.145</v>
      </c>
      <c r="K8" s="1">
        <v>72894.039999999994</v>
      </c>
      <c r="L8" s="1">
        <v>1.124539E+18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86.301339999999996</v>
      </c>
      <c r="Y8" s="1">
        <v>3.131216E+17</v>
      </c>
      <c r="Z8" s="1">
        <v>1.481486E+16</v>
      </c>
      <c r="AA8" s="1">
        <v>6045286000000</v>
      </c>
      <c r="AB8" s="1">
        <v>209110.3</v>
      </c>
      <c r="AC8" s="1">
        <v>53299360000</v>
      </c>
      <c r="AD8" s="1">
        <v>1.191426E-7</v>
      </c>
      <c r="AE8" s="1">
        <v>4.8467199999999997E-3</v>
      </c>
      <c r="AF8" s="1">
        <v>121219300000</v>
      </c>
      <c r="AG8" s="1">
        <v>22836810</v>
      </c>
      <c r="AH8" s="1">
        <v>183528200000</v>
      </c>
      <c r="AI8" s="1">
        <v>29608460</v>
      </c>
      <c r="AJ8" s="1">
        <v>1933577</v>
      </c>
      <c r="AK8" s="1">
        <v>392862.4</v>
      </c>
      <c r="AL8" s="1">
        <v>1122069</v>
      </c>
      <c r="AM8" s="1">
        <v>2599246</v>
      </c>
      <c r="AN8" s="1">
        <v>3036.9059999999999</v>
      </c>
      <c r="AO8" s="1">
        <v>27.155159999999999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969914500000000</v>
      </c>
      <c r="BF8" s="1">
        <v>1.118184E+20</v>
      </c>
      <c r="BG8" s="1">
        <v>77476.81</v>
      </c>
      <c r="BH8" s="1">
        <v>0</v>
      </c>
      <c r="BI8" s="1">
        <v>10.810560000000001</v>
      </c>
      <c r="BJ8" s="1">
        <v>0</v>
      </c>
      <c r="BK8" s="1">
        <v>13789.5</v>
      </c>
      <c r="BL8" s="1">
        <v>186960500</v>
      </c>
      <c r="BM8" s="1">
        <v>7320016000000</v>
      </c>
      <c r="BN8" s="1">
        <v>137292300000</v>
      </c>
      <c r="BO8" s="1">
        <v>3741673</v>
      </c>
      <c r="BP8" s="1">
        <v>24538200</v>
      </c>
      <c r="BQ8" s="1">
        <v>2254055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3.3157379999999999E-4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4279213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N8" s="1">
        <f t="shared" si="0"/>
        <v>1.1327410308160786E+20</v>
      </c>
      <c r="DP8" s="1">
        <f t="shared" si="1"/>
        <v>1.9799494668116735E-5</v>
      </c>
      <c r="DQ8" s="1">
        <f t="shared" si="2"/>
        <v>0.9871488447755874</v>
      </c>
      <c r="DR8" s="1">
        <f t="shared" si="3"/>
        <v>1.3078770519442292E-4</v>
      </c>
      <c r="DS8" s="1">
        <f t="shared" si="4"/>
        <v>2.7642823159183421E-3</v>
      </c>
      <c r="DT8" s="1">
        <f t="shared" si="5"/>
        <v>8.5625440733018129E-6</v>
      </c>
    </row>
    <row r="9" spans="1:231" x14ac:dyDescent="0.2">
      <c r="A9">
        <v>1869.824347</v>
      </c>
      <c r="B9">
        <v>1725.9917049999999</v>
      </c>
      <c r="C9">
        <v>2013.6569890000001</v>
      </c>
      <c r="D9">
        <v>1649.3484229999999</v>
      </c>
      <c r="E9" s="1">
        <v>2423617</v>
      </c>
      <c r="F9" s="1">
        <v>13170760</v>
      </c>
      <c r="G9" s="1">
        <v>5.5811339999999997E-11</v>
      </c>
      <c r="H9" s="1">
        <v>1795899000000000</v>
      </c>
      <c r="I9" s="1">
        <v>831260400000</v>
      </c>
      <c r="J9" s="1">
        <v>894.02</v>
      </c>
      <c r="K9" s="1">
        <v>48278.04</v>
      </c>
      <c r="L9" s="1">
        <v>9.009322E+17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52.14434</v>
      </c>
      <c r="Y9" s="1">
        <v>2.549773E+17</v>
      </c>
      <c r="Z9" s="1">
        <v>8682793000000000</v>
      </c>
      <c r="AA9" s="1">
        <v>3953920000000</v>
      </c>
      <c r="AB9" s="1">
        <v>136398.70000000001</v>
      </c>
      <c r="AC9" s="1">
        <v>29242070000</v>
      </c>
      <c r="AD9" s="1">
        <v>5.4696600000000002E-8</v>
      </c>
      <c r="AE9" s="1">
        <v>2.3993389999999999E-3</v>
      </c>
      <c r="AF9" s="1">
        <v>65809570000</v>
      </c>
      <c r="AG9" s="1">
        <v>10736750</v>
      </c>
      <c r="AH9" s="1">
        <v>87588140000</v>
      </c>
      <c r="AI9" s="1">
        <v>12213440</v>
      </c>
      <c r="AJ9" s="1">
        <v>792989.5</v>
      </c>
      <c r="AK9" s="1">
        <v>214052.3</v>
      </c>
      <c r="AL9" s="1">
        <v>628075.5</v>
      </c>
      <c r="AM9" s="1">
        <v>1253717</v>
      </c>
      <c r="AN9" s="1">
        <v>1337.3869999999999</v>
      </c>
      <c r="AO9" s="1">
        <v>10.46227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798777300000000</v>
      </c>
      <c r="BF9" s="1">
        <v>8.991698E+19</v>
      </c>
      <c r="BG9" s="1">
        <v>59741.18</v>
      </c>
      <c r="BH9" s="1">
        <v>0</v>
      </c>
      <c r="BI9" s="1">
        <v>7.5717590000000001</v>
      </c>
      <c r="BJ9" s="1">
        <v>0</v>
      </c>
      <c r="BK9" s="1">
        <v>7951.39</v>
      </c>
      <c r="BL9" s="1">
        <v>107519700</v>
      </c>
      <c r="BM9" s="1">
        <v>4269213000000</v>
      </c>
      <c r="BN9" s="1">
        <v>92342110000</v>
      </c>
      <c r="BO9" s="1">
        <v>2032405</v>
      </c>
      <c r="BP9" s="1">
        <v>16200800</v>
      </c>
      <c r="BQ9" s="1">
        <v>1204088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1.584759E-4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2409850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N9" s="1">
        <f t="shared" si="0"/>
        <v>9.1084176298843914E+19</v>
      </c>
      <c r="DP9" s="1">
        <f t="shared" si="1"/>
        <v>1.9716915417972489E-5</v>
      </c>
      <c r="DQ9" s="1">
        <f t="shared" si="2"/>
        <v>0.98718552062199716</v>
      </c>
      <c r="DR9" s="1">
        <f t="shared" si="3"/>
        <v>9.5327128737620327E-5</v>
      </c>
      <c r="DS9" s="1">
        <f t="shared" si="4"/>
        <v>2.7993589047062206E-3</v>
      </c>
      <c r="DT9" s="1">
        <f t="shared" si="5"/>
        <v>8.7696604663716811E-6</v>
      </c>
    </row>
    <row r="10" spans="1:231" x14ac:dyDescent="0.2">
      <c r="A10">
        <v>2157.4896319999998</v>
      </c>
      <c r="B10">
        <v>2013.6569890000001</v>
      </c>
      <c r="C10">
        <v>2301.3222740000001</v>
      </c>
      <c r="D10">
        <v>1640.427682</v>
      </c>
      <c r="E10" s="1">
        <v>1932142</v>
      </c>
      <c r="F10" s="1">
        <v>10805980</v>
      </c>
      <c r="G10" s="1">
        <v>3.8966910000000002E-11</v>
      </c>
      <c r="H10" s="1">
        <v>1474365000000000</v>
      </c>
      <c r="I10" s="1">
        <v>663793400000</v>
      </c>
      <c r="J10" s="1">
        <v>654.55129999999997</v>
      </c>
      <c r="K10" s="1">
        <v>33348.92</v>
      </c>
      <c r="L10" s="1">
        <v>7.200731E+17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33.59422</v>
      </c>
      <c r="Y10" s="1">
        <v>2.064223E+17</v>
      </c>
      <c r="Z10" s="1">
        <v>4904041000000000</v>
      </c>
      <c r="AA10" s="1">
        <v>2563762000000</v>
      </c>
      <c r="AB10" s="1">
        <v>88248.960000000006</v>
      </c>
      <c r="AC10" s="1">
        <v>15699750000</v>
      </c>
      <c r="AD10" s="1">
        <v>2.561677E-8</v>
      </c>
      <c r="AE10" s="1">
        <v>1.257511E-3</v>
      </c>
      <c r="AF10" s="1">
        <v>35065660000</v>
      </c>
      <c r="AG10" s="1">
        <v>4987228</v>
      </c>
      <c r="AH10" s="1">
        <v>40054880000</v>
      </c>
      <c r="AI10" s="1">
        <v>4861809</v>
      </c>
      <c r="AJ10" s="1">
        <v>305873.90000000002</v>
      </c>
      <c r="AK10" s="1">
        <v>117494</v>
      </c>
      <c r="AL10" s="1">
        <v>342546.9</v>
      </c>
      <c r="AM10" s="1">
        <v>593808.6</v>
      </c>
      <c r="AN10" s="1">
        <v>575.01020000000005</v>
      </c>
      <c r="AO10" s="1">
        <v>3.952115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652208700000000</v>
      </c>
      <c r="BF10" s="1">
        <v>7.207907E+19</v>
      </c>
      <c r="BG10" s="1">
        <v>48944.12</v>
      </c>
      <c r="BH10" s="1">
        <v>0</v>
      </c>
      <c r="BI10" s="1">
        <v>5.7636479999999999</v>
      </c>
      <c r="BJ10" s="1">
        <v>0</v>
      </c>
      <c r="BK10" s="1">
        <v>4810.607</v>
      </c>
      <c r="BL10" s="1">
        <v>63183180</v>
      </c>
      <c r="BM10" s="1">
        <v>2468156000000</v>
      </c>
      <c r="BN10" s="1">
        <v>62850260000</v>
      </c>
      <c r="BO10" s="1">
        <v>1112568</v>
      </c>
      <c r="BP10" s="1">
        <v>10869810</v>
      </c>
      <c r="BQ10" s="1">
        <v>651074.19999999995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7.8646550000000003E-5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1393558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N10" s="1">
        <f t="shared" si="0"/>
        <v>7.301260186418135E+19</v>
      </c>
      <c r="DP10" s="1">
        <f t="shared" si="1"/>
        <v>2.019329488822527E-5</v>
      </c>
      <c r="DQ10" s="1">
        <f t="shared" si="2"/>
        <v>0.98721409947945815</v>
      </c>
      <c r="DR10" s="1">
        <f t="shared" si="3"/>
        <v>6.7167048903729498E-5</v>
      </c>
      <c r="DS10" s="1">
        <f t="shared" si="4"/>
        <v>2.8272146825282091E-3</v>
      </c>
      <c r="DT10" s="1">
        <f t="shared" si="5"/>
        <v>8.9328236954662166E-6</v>
      </c>
    </row>
    <row r="11" spans="1:231" x14ac:dyDescent="0.2">
      <c r="A11">
        <v>2445.154916</v>
      </c>
      <c r="B11">
        <v>2301.3222740000001</v>
      </c>
      <c r="C11">
        <v>2588.9875579999998</v>
      </c>
      <c r="D11">
        <v>1633.7613389999999</v>
      </c>
      <c r="E11" s="1">
        <v>1538677</v>
      </c>
      <c r="F11" s="1">
        <v>9307199</v>
      </c>
      <c r="G11" s="1">
        <v>2.9715800000000001E-11</v>
      </c>
      <c r="H11" s="1">
        <v>1234928000000000</v>
      </c>
      <c r="I11" s="1">
        <v>544501000000</v>
      </c>
      <c r="J11" s="1">
        <v>502.88799999999998</v>
      </c>
      <c r="K11" s="1">
        <v>23835.84</v>
      </c>
      <c r="L11" s="1">
        <v>5.745347E+17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22.778310000000001</v>
      </c>
      <c r="Y11" s="1">
        <v>1.66284E+17</v>
      </c>
      <c r="Z11" s="1">
        <v>2687879000000000</v>
      </c>
      <c r="AA11" s="1">
        <v>1650455000000</v>
      </c>
      <c r="AB11" s="1">
        <v>56718.07</v>
      </c>
      <c r="AC11" s="1">
        <v>8282217000</v>
      </c>
      <c r="AD11" s="1">
        <v>1.2190650000000001E-8</v>
      </c>
      <c r="AE11" s="1">
        <v>6.8938280000000005E-4</v>
      </c>
      <c r="AF11" s="1">
        <v>18390910000</v>
      </c>
      <c r="AG11" s="1">
        <v>2292416</v>
      </c>
      <c r="AH11" s="1">
        <v>17687160000</v>
      </c>
      <c r="AI11" s="1">
        <v>1879437</v>
      </c>
      <c r="AJ11" s="1">
        <v>112235.1</v>
      </c>
      <c r="AK11" s="1">
        <v>64832.29</v>
      </c>
      <c r="AL11" s="1">
        <v>182841.1</v>
      </c>
      <c r="AM11" s="1">
        <v>276990</v>
      </c>
      <c r="AN11" s="1">
        <v>242.36340000000001</v>
      </c>
      <c r="AO11" s="1">
        <v>1.4685630000000001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528785100000000</v>
      </c>
      <c r="BF11" s="1">
        <v>5.763866E+19</v>
      </c>
      <c r="BG11" s="1">
        <v>42110.03</v>
      </c>
      <c r="BH11" s="1">
        <v>0</v>
      </c>
      <c r="BI11" s="1">
        <v>4.6913099999999996</v>
      </c>
      <c r="BJ11" s="1">
        <v>0</v>
      </c>
      <c r="BK11" s="1">
        <v>3023.72</v>
      </c>
      <c r="BL11" s="1">
        <v>37764650</v>
      </c>
      <c r="BM11" s="1">
        <v>1416412000000</v>
      </c>
      <c r="BN11" s="1">
        <v>43175590000</v>
      </c>
      <c r="BO11" s="1">
        <v>612715.4</v>
      </c>
      <c r="BP11" s="1">
        <v>7386894</v>
      </c>
      <c r="BQ11" s="1">
        <v>355208.9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4.0223179999999997E-5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822895.2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N11" s="1">
        <f t="shared" si="0"/>
        <v>5.8383933991065051E+19</v>
      </c>
      <c r="DP11" s="1">
        <f t="shared" si="1"/>
        <v>2.1151846331372441E-5</v>
      </c>
      <c r="DQ11" s="1">
        <f t="shared" si="2"/>
        <v>0.9872349473541967</v>
      </c>
      <c r="DR11" s="1">
        <f t="shared" si="3"/>
        <v>4.6037990526834782E-5</v>
      </c>
      <c r="DS11" s="1">
        <f t="shared" si="4"/>
        <v>2.8481122910533527E-3</v>
      </c>
      <c r="DT11" s="1">
        <f t="shared" si="5"/>
        <v>9.0570309989889354E-6</v>
      </c>
    </row>
    <row r="12" spans="1:231" x14ac:dyDescent="0.2">
      <c r="A12">
        <v>2732.8202000000001</v>
      </c>
      <c r="B12">
        <v>2588.9875579999998</v>
      </c>
      <c r="C12">
        <v>2876.652842</v>
      </c>
      <c r="D12">
        <v>1628.8227919999999</v>
      </c>
      <c r="E12" s="1">
        <v>1224348</v>
      </c>
      <c r="F12" s="1">
        <v>8326455</v>
      </c>
      <c r="G12" s="1">
        <v>2.427952E-11</v>
      </c>
      <c r="H12" s="1">
        <v>1050714000000000</v>
      </c>
      <c r="I12" s="1">
        <v>456142000000</v>
      </c>
      <c r="J12" s="1">
        <v>401.21910000000003</v>
      </c>
      <c r="K12" s="1">
        <v>17498.41</v>
      </c>
      <c r="L12" s="1">
        <v>4.57841E+17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16.070409999999999</v>
      </c>
      <c r="Y12" s="1">
        <v>1.334184E+17</v>
      </c>
      <c r="Z12" s="1">
        <v>1438974000000000</v>
      </c>
      <c r="AA12" s="1">
        <v>1056483000000</v>
      </c>
      <c r="AB12" s="1">
        <v>36263.83</v>
      </c>
      <c r="AC12" s="1">
        <v>4309527000</v>
      </c>
      <c r="AD12" s="1">
        <v>5.8741610000000002E-9</v>
      </c>
      <c r="AE12" s="1">
        <v>3.9129399999999998E-4</v>
      </c>
      <c r="AF12" s="1">
        <v>9524448000</v>
      </c>
      <c r="AG12" s="1">
        <v>1044859</v>
      </c>
      <c r="AH12" s="1">
        <v>7597778000</v>
      </c>
      <c r="AI12" s="1">
        <v>709940.1</v>
      </c>
      <c r="AJ12" s="1">
        <v>39600.28</v>
      </c>
      <c r="AK12" s="1">
        <v>35911.83</v>
      </c>
      <c r="AL12" s="1">
        <v>95946.65</v>
      </c>
      <c r="AM12" s="1">
        <v>127648.5</v>
      </c>
      <c r="AN12" s="1">
        <v>100.56359999999999</v>
      </c>
      <c r="AO12" s="1">
        <v>0.53864559999999995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426342900000000</v>
      </c>
      <c r="BF12" s="1">
        <v>4.600509E+19</v>
      </c>
      <c r="BG12" s="1">
        <v>37644.58</v>
      </c>
      <c r="BH12" s="1">
        <v>0</v>
      </c>
      <c r="BI12" s="1">
        <v>4.0235779999999997</v>
      </c>
      <c r="BJ12" s="1">
        <v>0</v>
      </c>
      <c r="BK12" s="1">
        <v>1957.7560000000001</v>
      </c>
      <c r="BL12" s="1">
        <v>22869890</v>
      </c>
      <c r="BM12" s="1">
        <v>808083900000</v>
      </c>
      <c r="BN12" s="1">
        <v>29872470000</v>
      </c>
      <c r="BO12" s="1">
        <v>339005.6</v>
      </c>
      <c r="BP12" s="1">
        <v>5070154</v>
      </c>
      <c r="BQ12" s="1">
        <v>195089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2.1060760000000001E-5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493850.2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N12" s="1">
        <f t="shared" si="0"/>
        <v>4.6599267802952565E+19</v>
      </c>
      <c r="DP12" s="1">
        <f t="shared" si="1"/>
        <v>2.2547865010304433E-5</v>
      </c>
      <c r="DQ12" s="1">
        <f t="shared" si="2"/>
        <v>0.98724920302471109</v>
      </c>
      <c r="DR12" s="1">
        <f t="shared" si="3"/>
        <v>3.0879755580812483E-5</v>
      </c>
      <c r="DS12" s="1">
        <f t="shared" si="4"/>
        <v>2.8631007801274188E-3</v>
      </c>
      <c r="DT12" s="1">
        <f t="shared" si="5"/>
        <v>9.149133025068403E-6</v>
      </c>
    </row>
    <row r="13" spans="1:231" x14ac:dyDescent="0.2">
      <c r="A13">
        <v>3020.4854839999998</v>
      </c>
      <c r="B13">
        <v>2876.652842</v>
      </c>
      <c r="C13">
        <v>3164.3181260000001</v>
      </c>
      <c r="D13">
        <v>1625.1842630000001</v>
      </c>
      <c r="E13" s="1">
        <v>973646.9</v>
      </c>
      <c r="F13" s="1">
        <v>7667838</v>
      </c>
      <c r="G13" s="1">
        <v>2.0909540000000001E-11</v>
      </c>
      <c r="H13" s="1">
        <v>904731000000000</v>
      </c>
      <c r="I13" s="1">
        <v>388306500000</v>
      </c>
      <c r="J13" s="1">
        <v>329.45280000000002</v>
      </c>
      <c r="K13" s="1">
        <v>13111.16</v>
      </c>
      <c r="L13" s="1">
        <v>3.645143E+17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11.686199999999999</v>
      </c>
      <c r="Y13" s="1">
        <v>1.067249E+17</v>
      </c>
      <c r="Z13" s="1">
        <v>756697100000000</v>
      </c>
      <c r="AA13" s="1">
        <v>673362300000</v>
      </c>
      <c r="AB13" s="1">
        <v>23094.959999999999</v>
      </c>
      <c r="AC13" s="1">
        <v>2219098000</v>
      </c>
      <c r="AD13" s="1">
        <v>2.8576740000000002E-9</v>
      </c>
      <c r="AE13" s="1">
        <v>2.2805469999999999E-4</v>
      </c>
      <c r="AF13" s="1">
        <v>4885315000</v>
      </c>
      <c r="AG13" s="1">
        <v>473178.4</v>
      </c>
      <c r="AH13" s="1">
        <v>3195891000</v>
      </c>
      <c r="AI13" s="1">
        <v>263495.3</v>
      </c>
      <c r="AJ13" s="1">
        <v>13561.5</v>
      </c>
      <c r="AK13" s="1">
        <v>19950.580000000002</v>
      </c>
      <c r="AL13" s="1">
        <v>49699.25</v>
      </c>
      <c r="AM13" s="1">
        <v>58285.31</v>
      </c>
      <c r="AN13" s="1">
        <v>41.231229999999996</v>
      </c>
      <c r="AO13" s="1">
        <v>0.19562170000000001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342300200000000</v>
      </c>
      <c r="BF13" s="1">
        <v>3.666799E+19</v>
      </c>
      <c r="BG13" s="1">
        <v>34650.339999999997</v>
      </c>
      <c r="BH13" s="1">
        <v>0</v>
      </c>
      <c r="BI13" s="1">
        <v>3.591323</v>
      </c>
      <c r="BJ13" s="1">
        <v>0</v>
      </c>
      <c r="BK13" s="1">
        <v>1296.5429999999999</v>
      </c>
      <c r="BL13" s="1">
        <v>13988940</v>
      </c>
      <c r="BM13" s="1">
        <v>458971100000</v>
      </c>
      <c r="BN13" s="1">
        <v>20781300000</v>
      </c>
      <c r="BO13" s="1">
        <v>188235.9</v>
      </c>
      <c r="BP13" s="1">
        <v>3506568</v>
      </c>
      <c r="BQ13" s="1">
        <v>107691.6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1.1226970000000001E-5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300059.09999999998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N13" s="1">
        <f t="shared" si="0"/>
        <v>3.7141234480048218E+19</v>
      </c>
      <c r="DP13" s="1">
        <f t="shared" si="1"/>
        <v>2.4359206490188407E-5</v>
      </c>
      <c r="DQ13" s="1">
        <f t="shared" si="2"/>
        <v>0.98725824581026145</v>
      </c>
      <c r="DR13" s="1">
        <f t="shared" si="3"/>
        <v>2.0373504289591876E-5</v>
      </c>
      <c r="DS13" s="1">
        <f t="shared" si="4"/>
        <v>2.8734882266051552E-3</v>
      </c>
      <c r="DT13" s="1">
        <f t="shared" si="5"/>
        <v>9.2161772432168122E-6</v>
      </c>
    </row>
    <row r="14" spans="1:231" x14ac:dyDescent="0.2">
      <c r="A14">
        <v>3308.150768</v>
      </c>
      <c r="B14">
        <v>3164.3181260000001</v>
      </c>
      <c r="C14">
        <v>3451.9834099999998</v>
      </c>
      <c r="D14">
        <v>1622.5054070000001</v>
      </c>
      <c r="E14" s="1">
        <v>773935</v>
      </c>
      <c r="F14" s="1">
        <v>7215247</v>
      </c>
      <c r="G14" s="1">
        <v>1.8727049999999999E-11</v>
      </c>
      <c r="H14" s="1">
        <v>786004100000000</v>
      </c>
      <c r="I14" s="1">
        <v>334536900000</v>
      </c>
      <c r="J14" s="1">
        <v>276.38619999999997</v>
      </c>
      <c r="K14" s="1">
        <v>9974.5580000000009</v>
      </c>
      <c r="L14" s="1">
        <v>2.900131E+17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8.6921389999999992</v>
      </c>
      <c r="Y14" s="1">
        <v>8.518242E+16</v>
      </c>
      <c r="Z14" s="1">
        <v>392661000000000</v>
      </c>
      <c r="AA14" s="1">
        <v>427815000000</v>
      </c>
      <c r="AB14" s="1">
        <v>14665.66</v>
      </c>
      <c r="AC14" s="1">
        <v>1133862000</v>
      </c>
      <c r="AD14" s="1">
        <v>1.400182E-9</v>
      </c>
      <c r="AE14" s="1">
        <v>1.3557200000000001E-4</v>
      </c>
      <c r="AF14" s="1">
        <v>2488062000</v>
      </c>
      <c r="AG14" s="1">
        <v>213275.7</v>
      </c>
      <c r="AH14" s="1">
        <v>1323532000</v>
      </c>
      <c r="AI14" s="1">
        <v>96530.49</v>
      </c>
      <c r="AJ14" s="1">
        <v>4542.518</v>
      </c>
      <c r="AK14" s="1">
        <v>11108.41</v>
      </c>
      <c r="AL14" s="1">
        <v>25497.77</v>
      </c>
      <c r="AM14" s="1">
        <v>26433.09</v>
      </c>
      <c r="AN14" s="1">
        <v>16.756329999999998</v>
      </c>
      <c r="AO14" s="1">
        <v>7.0528149999999998E-2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273970200000000</v>
      </c>
      <c r="BF14" s="1">
        <v>2.919547E+19</v>
      </c>
      <c r="BG14" s="1">
        <v>32595.88</v>
      </c>
      <c r="BH14" s="1">
        <v>0</v>
      </c>
      <c r="BI14" s="1">
        <v>3.3021919999999998</v>
      </c>
      <c r="BJ14" s="1">
        <v>0</v>
      </c>
      <c r="BK14" s="1">
        <v>873.25739999999996</v>
      </c>
      <c r="BL14" s="1">
        <v>8621012</v>
      </c>
      <c r="BM14" s="1">
        <v>259829500000</v>
      </c>
      <c r="BN14" s="1">
        <v>14516240000</v>
      </c>
      <c r="BO14" s="1">
        <v>104801.4</v>
      </c>
      <c r="BP14" s="1">
        <v>2439027</v>
      </c>
      <c r="BQ14" s="1">
        <v>59676.35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6.0655450000000004E-6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184005.2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N14" s="1">
        <f t="shared" si="0"/>
        <v>2.9572119196962161E+19</v>
      </c>
      <c r="DP14" s="1">
        <f t="shared" si="1"/>
        <v>2.65792280480441E-5</v>
      </c>
      <c r="DQ14" s="1">
        <f t="shared" si="2"/>
        <v>0.98726336809162962</v>
      </c>
      <c r="DR14" s="1">
        <f t="shared" si="3"/>
        <v>1.3278081201577758E-5</v>
      </c>
      <c r="DS14" s="1">
        <f t="shared" si="4"/>
        <v>2.8804976549922229E-3</v>
      </c>
      <c r="DT14" s="1">
        <f t="shared" si="5"/>
        <v>9.2644763865331637E-6</v>
      </c>
    </row>
    <row r="15" spans="1:231" x14ac:dyDescent="0.2">
      <c r="A15">
        <v>3595.816053</v>
      </c>
      <c r="B15">
        <v>3451.9834099999998</v>
      </c>
      <c r="C15">
        <v>3739.6486949999999</v>
      </c>
      <c r="D15">
        <v>1620.5312200000001</v>
      </c>
      <c r="E15" s="1">
        <v>614985.69999999995</v>
      </c>
      <c r="F15" s="1">
        <v>6898391</v>
      </c>
      <c r="G15" s="1">
        <v>1.726474E-11</v>
      </c>
      <c r="H15" s="1">
        <v>687372500000000</v>
      </c>
      <c r="I15" s="1">
        <v>290769600000</v>
      </c>
      <c r="J15" s="1">
        <v>235.56610000000001</v>
      </c>
      <c r="K15" s="1">
        <v>7674.0129999999999</v>
      </c>
      <c r="L15" s="1">
        <v>2.306199E+17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6.5744280000000002</v>
      </c>
      <c r="Y15" s="1">
        <v>6.78802E+16</v>
      </c>
      <c r="Z15" s="1">
        <v>201778500000000</v>
      </c>
      <c r="AA15" s="1">
        <v>271185700000</v>
      </c>
      <c r="AB15" s="1">
        <v>9293.3559999999998</v>
      </c>
      <c r="AC15" s="1">
        <v>576078400</v>
      </c>
      <c r="AD15" s="1">
        <v>6.8971519999999999E-10</v>
      </c>
      <c r="AE15" s="1">
        <v>8.1791770000000003E-5</v>
      </c>
      <c r="AF15" s="1">
        <v>1260683000</v>
      </c>
      <c r="AG15" s="1">
        <v>95807.21</v>
      </c>
      <c r="AH15" s="1">
        <v>541918300</v>
      </c>
      <c r="AI15" s="1">
        <v>35029.129999999997</v>
      </c>
      <c r="AJ15" s="1">
        <v>1497.0319999999999</v>
      </c>
      <c r="AK15" s="1">
        <v>6196.1440000000002</v>
      </c>
      <c r="AL15" s="1">
        <v>12990.44</v>
      </c>
      <c r="AM15" s="1">
        <v>11928.99</v>
      </c>
      <c r="AN15" s="1">
        <v>6.7662740000000001</v>
      </c>
      <c r="AO15" s="1">
        <v>2.5293980000000001E-2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218784700000000</v>
      </c>
      <c r="BF15" s="1">
        <v>2.322792E+19</v>
      </c>
      <c r="BG15" s="1">
        <v>31159.69</v>
      </c>
      <c r="BH15" s="1">
        <v>0</v>
      </c>
      <c r="BI15" s="1">
        <v>3.1037439999999998</v>
      </c>
      <c r="BJ15" s="1">
        <v>0</v>
      </c>
      <c r="BK15" s="1">
        <v>595.58299999999997</v>
      </c>
      <c r="BL15" s="1">
        <v>5342750</v>
      </c>
      <c r="BM15" s="1">
        <v>146746100000</v>
      </c>
      <c r="BN15" s="1">
        <v>10171260000</v>
      </c>
      <c r="BO15" s="1">
        <v>58468.19</v>
      </c>
      <c r="BP15" s="1">
        <v>1703714</v>
      </c>
      <c r="BQ15" s="1">
        <v>33167.599999999999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3.309759E-6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113618.1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N15" s="1">
        <f t="shared" si="0"/>
        <v>2.3527528756965704E+19</v>
      </c>
      <c r="DP15" s="1">
        <f t="shared" si="1"/>
        <v>2.921566931658695E-5</v>
      </c>
      <c r="DQ15" s="1">
        <f t="shared" si="2"/>
        <v>0.98726560872327063</v>
      </c>
      <c r="DR15" s="1">
        <f t="shared" si="3"/>
        <v>8.5762725904759642E-6</v>
      </c>
      <c r="DS15" s="1">
        <f t="shared" si="4"/>
        <v>2.8851393914417372E-3</v>
      </c>
      <c r="DT15" s="1">
        <f t="shared" si="5"/>
        <v>9.2990939362989947E-6</v>
      </c>
    </row>
    <row r="16" spans="1:231" x14ac:dyDescent="0.2">
      <c r="A16">
        <v>3883.4813370000002</v>
      </c>
      <c r="B16">
        <v>3739.6486949999999</v>
      </c>
      <c r="C16">
        <v>4027.313979</v>
      </c>
      <c r="D16">
        <v>1619.0772999999999</v>
      </c>
      <c r="E16" s="1">
        <v>488561.8</v>
      </c>
      <c r="F16" s="1">
        <v>6673778</v>
      </c>
      <c r="G16" s="1">
        <v>1.6261310000000001E-11</v>
      </c>
      <c r="H16" s="1">
        <v>604064700000000</v>
      </c>
      <c r="I16" s="1">
        <v>254386300000</v>
      </c>
      <c r="J16" s="1">
        <v>203.1404</v>
      </c>
      <c r="K16" s="1">
        <v>5953.2870000000003</v>
      </c>
      <c r="L16" s="1">
        <v>1.833174E+17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5.0352309999999996</v>
      </c>
      <c r="Y16" s="1">
        <v>5.403146E+16</v>
      </c>
      <c r="Z16" s="1">
        <v>102947700000000</v>
      </c>
      <c r="AA16" s="1">
        <v>171617500000</v>
      </c>
      <c r="AB16" s="1">
        <v>5880.0680000000002</v>
      </c>
      <c r="AC16" s="1">
        <v>291473300</v>
      </c>
      <c r="AD16" s="1">
        <v>3.4110530000000003E-10</v>
      </c>
      <c r="AE16" s="1">
        <v>4.9895809999999998E-5</v>
      </c>
      <c r="AF16" s="1">
        <v>636443400</v>
      </c>
      <c r="AG16" s="1">
        <v>42936.93</v>
      </c>
      <c r="AH16" s="1">
        <v>220051600</v>
      </c>
      <c r="AI16" s="1">
        <v>12623.82</v>
      </c>
      <c r="AJ16" s="1">
        <v>487.517</v>
      </c>
      <c r="AK16" s="1">
        <v>3461.1289999999999</v>
      </c>
      <c r="AL16" s="1">
        <v>6584.9080000000004</v>
      </c>
      <c r="AM16" s="1">
        <v>5364.4979999999996</v>
      </c>
      <c r="AN16" s="1">
        <v>2.7196199999999999</v>
      </c>
      <c r="AO16" s="1">
        <v>9.0370069999999997E-3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174428800000000</v>
      </c>
      <c r="BF16" s="1">
        <v>1.846963E+19</v>
      </c>
      <c r="BG16" s="1">
        <v>30143.01</v>
      </c>
      <c r="BH16" s="1">
        <v>0</v>
      </c>
      <c r="BI16" s="1">
        <v>2.965096</v>
      </c>
      <c r="BJ16" s="1">
        <v>0</v>
      </c>
      <c r="BK16" s="1">
        <v>410.02670000000001</v>
      </c>
      <c r="BL16" s="1">
        <v>3325115</v>
      </c>
      <c r="BM16" s="1">
        <v>82739700000</v>
      </c>
      <c r="BN16" s="1">
        <v>7143508000</v>
      </c>
      <c r="BO16" s="1">
        <v>32670.37</v>
      </c>
      <c r="BP16" s="1">
        <v>1193886</v>
      </c>
      <c r="BQ16" s="1">
        <v>18477.490000000002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1.8194680000000001E-6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70520.679999999993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N16" s="1">
        <f t="shared" si="0"/>
        <v>1.8707860818246406E+19</v>
      </c>
      <c r="DP16" s="1">
        <f t="shared" si="1"/>
        <v>3.2289351832831439E-5</v>
      </c>
      <c r="DQ16" s="1">
        <f t="shared" si="2"/>
        <v>0.98726573708448528</v>
      </c>
      <c r="DR16" s="1">
        <f t="shared" si="3"/>
        <v>5.502911369727085E-6</v>
      </c>
      <c r="DS16" s="1">
        <f t="shared" si="4"/>
        <v>2.8881688037416496E-3</v>
      </c>
      <c r="DT16" s="1">
        <f t="shared" si="5"/>
        <v>9.3238239098867848E-6</v>
      </c>
    </row>
    <row r="17" spans="1:124" x14ac:dyDescent="0.2">
      <c r="A17">
        <v>4171.1466209999999</v>
      </c>
      <c r="B17">
        <v>4027.313979</v>
      </c>
      <c r="C17">
        <v>4314.9792630000002</v>
      </c>
      <c r="D17">
        <v>1617.993371</v>
      </c>
      <c r="E17" s="1">
        <v>388057</v>
      </c>
      <c r="F17" s="1">
        <v>6511054</v>
      </c>
      <c r="G17" s="1">
        <v>1.555179E-11</v>
      </c>
      <c r="H17" s="1">
        <v>532708100000000</v>
      </c>
      <c r="I17" s="1">
        <v>223594100000</v>
      </c>
      <c r="J17" s="1">
        <v>176.64519999999999</v>
      </c>
      <c r="K17" s="1">
        <v>4645.7340000000004</v>
      </c>
      <c r="L17" s="1">
        <v>1.456738E+17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3.8910650000000002</v>
      </c>
      <c r="Y17" s="1">
        <v>4.297445E+16</v>
      </c>
      <c r="Z17" s="1">
        <v>52256710000000</v>
      </c>
      <c r="AA17" s="1">
        <v>108480500000</v>
      </c>
      <c r="AB17" s="1">
        <v>3716.4079999999999</v>
      </c>
      <c r="AC17" s="1">
        <v>147038800</v>
      </c>
      <c r="AD17" s="1">
        <v>1.691782E-10</v>
      </c>
      <c r="AE17" s="1">
        <v>3.0681729999999997E-5</v>
      </c>
      <c r="AF17" s="1">
        <v>320479800</v>
      </c>
      <c r="AG17" s="1">
        <v>19211.18</v>
      </c>
      <c r="AH17" s="1">
        <v>88830000</v>
      </c>
      <c r="AI17" s="1">
        <v>4527.1760000000004</v>
      </c>
      <c r="AJ17" s="1">
        <v>157.42439999999999</v>
      </c>
      <c r="AK17" s="1">
        <v>1935.4480000000001</v>
      </c>
      <c r="AL17" s="1">
        <v>3326.04</v>
      </c>
      <c r="AM17" s="1">
        <v>2406.4679999999998</v>
      </c>
      <c r="AN17" s="1">
        <v>1.08955</v>
      </c>
      <c r="AO17" s="1">
        <v>3.220115E-3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138904700000000</v>
      </c>
      <c r="BF17" s="1">
        <v>1.468002E+19</v>
      </c>
      <c r="BG17" s="1">
        <v>29407.46</v>
      </c>
      <c r="BH17" s="1">
        <v>0</v>
      </c>
      <c r="BI17" s="1">
        <v>2.8657159999999999</v>
      </c>
      <c r="BJ17" s="1">
        <v>0</v>
      </c>
      <c r="BK17" s="1">
        <v>284.18270000000001</v>
      </c>
      <c r="BL17" s="1">
        <v>2075717</v>
      </c>
      <c r="BM17" s="1">
        <v>46595960000</v>
      </c>
      <c r="BN17" s="1">
        <v>5025530000</v>
      </c>
      <c r="BO17" s="1">
        <v>18275.97</v>
      </c>
      <c r="BP17" s="1">
        <v>838537.1</v>
      </c>
      <c r="BQ17" s="1">
        <v>10311.5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1.005526E-6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43934.14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N17" s="1">
        <f t="shared" si="0"/>
        <v>1.4869392503772004E+19</v>
      </c>
      <c r="DP17" s="1">
        <f t="shared" si="1"/>
        <v>3.5825814663569131E-5</v>
      </c>
      <c r="DQ17" s="1">
        <f t="shared" si="2"/>
        <v>0.9872642743323935</v>
      </c>
      <c r="DR17" s="1">
        <f t="shared" si="3"/>
        <v>3.514380966589169E-6</v>
      </c>
      <c r="DS17" s="1">
        <f t="shared" si="4"/>
        <v>2.8901281601853221E-3</v>
      </c>
      <c r="DT17" s="1">
        <f t="shared" si="5"/>
        <v>9.3416526576161897E-6</v>
      </c>
    </row>
    <row r="18" spans="1:124" x14ac:dyDescent="0.2">
      <c r="A18">
        <v>4458.8119049999996</v>
      </c>
      <c r="B18">
        <v>4314.9792630000002</v>
      </c>
      <c r="C18">
        <v>4602.6445469999999</v>
      </c>
      <c r="D18">
        <v>1617.062782</v>
      </c>
      <c r="E18" s="1">
        <v>308183.59999999998</v>
      </c>
      <c r="F18" s="1">
        <v>6374643</v>
      </c>
      <c r="G18" s="1">
        <v>1.4968759999999999E-11</v>
      </c>
      <c r="H18" s="1">
        <v>470442800000000</v>
      </c>
      <c r="I18" s="1">
        <v>196906800000</v>
      </c>
      <c r="J18" s="1">
        <v>154.14009999999999</v>
      </c>
      <c r="K18" s="1">
        <v>3634.1849999999999</v>
      </c>
      <c r="L18" s="1">
        <v>1.157412E+17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3.0174859999999999</v>
      </c>
      <c r="Y18" s="1">
        <v>3.416362E+16</v>
      </c>
      <c r="Z18" s="1">
        <v>26461180000000</v>
      </c>
      <c r="AA18" s="1">
        <v>68522630000</v>
      </c>
      <c r="AB18" s="1">
        <v>2347.38</v>
      </c>
      <c r="AC18" s="1">
        <v>74063640</v>
      </c>
      <c r="AD18" s="1">
        <v>8.3983769999999996E-11</v>
      </c>
      <c r="AE18" s="1">
        <v>1.892191E-5</v>
      </c>
      <c r="AF18" s="1">
        <v>161134300</v>
      </c>
      <c r="AG18" s="1">
        <v>8585.6959999999999</v>
      </c>
      <c r="AH18" s="1">
        <v>35753160</v>
      </c>
      <c r="AI18" s="1">
        <v>1619.373</v>
      </c>
      <c r="AJ18" s="1">
        <v>50.626779999999997</v>
      </c>
      <c r="AK18" s="1">
        <v>1082.364</v>
      </c>
      <c r="AL18" s="1">
        <v>1676.81</v>
      </c>
      <c r="AM18" s="1">
        <v>1077.931</v>
      </c>
      <c r="AN18" s="1">
        <v>0.43570120000000001</v>
      </c>
      <c r="AO18" s="1">
        <v>1.145545E-3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110547900000000</v>
      </c>
      <c r="BF18" s="1">
        <v>1.166518E+19</v>
      </c>
      <c r="BG18" s="1">
        <v>28792.2</v>
      </c>
      <c r="BH18" s="1">
        <v>0</v>
      </c>
      <c r="BI18" s="1">
        <v>2.7830819999999998</v>
      </c>
      <c r="BJ18" s="1">
        <v>0</v>
      </c>
      <c r="BK18" s="1">
        <v>197.4665</v>
      </c>
      <c r="BL18" s="1">
        <v>1297073</v>
      </c>
      <c r="BM18" s="1">
        <v>26220680000</v>
      </c>
      <c r="BN18" s="1">
        <v>3537297000</v>
      </c>
      <c r="BO18" s="1">
        <v>10225.77</v>
      </c>
      <c r="BP18" s="1">
        <v>589414.80000000005</v>
      </c>
      <c r="BQ18" s="1">
        <v>5756.1660000000002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5.5679079999999999E-7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27405.99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N18" s="1">
        <f t="shared" si="0"/>
        <v>1.1815692567346711E+19</v>
      </c>
      <c r="DP18" s="1">
        <f t="shared" si="1"/>
        <v>3.9815084669695406E-5</v>
      </c>
      <c r="DQ18" s="1">
        <f t="shared" si="2"/>
        <v>0.98726163815715218</v>
      </c>
      <c r="DR18" s="1">
        <f t="shared" si="3"/>
        <v>2.2394946254040891E-6</v>
      </c>
      <c r="DS18" s="1">
        <f t="shared" si="4"/>
        <v>2.8913768537286561E-3</v>
      </c>
      <c r="DT18" s="1">
        <f t="shared" si="5"/>
        <v>9.3560237260662098E-6</v>
      </c>
    </row>
    <row r="19" spans="1:124" x14ac:dyDescent="0.2">
      <c r="A19">
        <v>4746.4771890000002</v>
      </c>
      <c r="B19">
        <v>4602.6445469999999</v>
      </c>
      <c r="C19">
        <v>4890.3098309999996</v>
      </c>
      <c r="D19">
        <v>1615.742146</v>
      </c>
      <c r="E19" s="1">
        <v>244711</v>
      </c>
      <c r="F19" s="1">
        <v>6186336</v>
      </c>
      <c r="G19" s="1">
        <v>1.4182070000000001E-11</v>
      </c>
      <c r="H19" s="1">
        <v>413837400000000</v>
      </c>
      <c r="I19" s="1">
        <v>172543900000</v>
      </c>
      <c r="J19" s="1">
        <v>133.3321</v>
      </c>
      <c r="K19" s="1">
        <v>2824.99</v>
      </c>
      <c r="L19" s="1">
        <v>9.197086E+16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2.315261</v>
      </c>
      <c r="Y19" s="1">
        <v>2.715698E+16</v>
      </c>
      <c r="Z19" s="1">
        <v>13447930000000</v>
      </c>
      <c r="AA19" s="1">
        <v>43281230000</v>
      </c>
      <c r="AB19" s="1">
        <v>1482.7339999999999</v>
      </c>
      <c r="AC19" s="1">
        <v>37362580</v>
      </c>
      <c r="AD19" s="1">
        <v>4.150401E-11</v>
      </c>
      <c r="AE19" s="1">
        <v>1.154543E-5</v>
      </c>
      <c r="AF19" s="1">
        <v>81032690</v>
      </c>
      <c r="AG19" s="1">
        <v>3833.3049999999998</v>
      </c>
      <c r="AH19" s="1">
        <v>14439000</v>
      </c>
      <c r="AI19" s="1">
        <v>580.49260000000004</v>
      </c>
      <c r="AJ19" s="1">
        <v>16.375599999999999</v>
      </c>
      <c r="AK19" s="1">
        <v>603.27679999999998</v>
      </c>
      <c r="AL19" s="1">
        <v>846.57330000000002</v>
      </c>
      <c r="AM19" s="1">
        <v>482.88380000000001</v>
      </c>
      <c r="AN19" s="1">
        <v>0.17436560000000001</v>
      </c>
      <c r="AO19" s="1">
        <v>4.0750189999999998E-4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88023020000000</v>
      </c>
      <c r="BF19" s="1">
        <v>9.270228E+18</v>
      </c>
      <c r="BG19" s="1">
        <v>27945.78</v>
      </c>
      <c r="BH19" s="1">
        <v>0</v>
      </c>
      <c r="BI19" s="1">
        <v>2.6700119999999998</v>
      </c>
      <c r="BJ19" s="1">
        <v>0</v>
      </c>
      <c r="BK19" s="1">
        <v>136.05879999999999</v>
      </c>
      <c r="BL19" s="1">
        <v>806720.1</v>
      </c>
      <c r="BM19" s="1">
        <v>14749580000</v>
      </c>
      <c r="BN19" s="1">
        <v>2482571000</v>
      </c>
      <c r="BO19" s="1">
        <v>5706.2969999999996</v>
      </c>
      <c r="BP19" s="1">
        <v>412911.7</v>
      </c>
      <c r="BQ19" s="1">
        <v>3199.7779999999998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3.0618050000000002E-7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17003.349999999999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N19" s="1">
        <f t="shared" si="0"/>
        <v>9.3898713815475876E+18</v>
      </c>
      <c r="DP19" s="1">
        <f t="shared" si="1"/>
        <v>4.4072744256460044E-5</v>
      </c>
      <c r="DQ19" s="1">
        <f t="shared" si="2"/>
        <v>0.9872582512916307</v>
      </c>
      <c r="DR19" s="1">
        <f t="shared" si="3"/>
        <v>1.4321740366355886E-6</v>
      </c>
      <c r="DS19" s="1">
        <f t="shared" si="4"/>
        <v>2.8921567608867645E-3</v>
      </c>
      <c r="DT19" s="1">
        <f t="shared" si="5"/>
        <v>9.3742519384213888E-6</v>
      </c>
    </row>
    <row r="20" spans="1:124" x14ac:dyDescent="0.2">
      <c r="A20">
        <v>5034.1424740000002</v>
      </c>
      <c r="B20">
        <v>4890.3098309999996</v>
      </c>
      <c r="C20">
        <v>5177.9751159999996</v>
      </c>
      <c r="D20">
        <v>1612.8117440000001</v>
      </c>
      <c r="E20" s="1">
        <v>194251.8</v>
      </c>
      <c r="F20" s="1">
        <v>5787870</v>
      </c>
      <c r="G20" s="1">
        <v>1.258202E-11</v>
      </c>
      <c r="H20" s="1">
        <v>358284000000000</v>
      </c>
      <c r="I20" s="1">
        <v>148118300000</v>
      </c>
      <c r="J20" s="1">
        <v>111.2242</v>
      </c>
      <c r="K20" s="1">
        <v>2139.4349999999999</v>
      </c>
      <c r="L20" s="1">
        <v>7.313515E+16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1.7018709999999999</v>
      </c>
      <c r="Y20" s="1">
        <v>2.159987E+16</v>
      </c>
      <c r="Z20" s="1">
        <v>6950601000000</v>
      </c>
      <c r="AA20" s="1">
        <v>27368870000</v>
      </c>
      <c r="AB20" s="1">
        <v>937.7998</v>
      </c>
      <c r="AC20" s="1">
        <v>18998110</v>
      </c>
      <c r="AD20" s="1">
        <v>2.0162429999999999E-11</v>
      </c>
      <c r="AE20" s="1">
        <v>6.7550599999999997E-6</v>
      </c>
      <c r="AF20" s="1">
        <v>40887800</v>
      </c>
      <c r="AG20" s="1">
        <v>1709.271</v>
      </c>
      <c r="AH20" s="1">
        <v>5930585</v>
      </c>
      <c r="AI20" s="1">
        <v>210.59200000000001</v>
      </c>
      <c r="AJ20" s="1">
        <v>5.442653</v>
      </c>
      <c r="AK20" s="1">
        <v>332.37479999999999</v>
      </c>
      <c r="AL20" s="1">
        <v>430.98309999999998</v>
      </c>
      <c r="AM20" s="1">
        <v>216.9588</v>
      </c>
      <c r="AN20" s="1">
        <v>7.0193229999999995E-2</v>
      </c>
      <c r="AO20" s="1">
        <v>1.45353E-4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70281930000000</v>
      </c>
      <c r="BF20" s="1">
        <v>7.372081E+18</v>
      </c>
      <c r="BG20" s="1">
        <v>26157.82</v>
      </c>
      <c r="BH20" s="1">
        <v>0</v>
      </c>
      <c r="BI20" s="1">
        <v>2.4349820000000002</v>
      </c>
      <c r="BJ20" s="1">
        <v>0</v>
      </c>
      <c r="BK20" s="1">
        <v>90.651740000000004</v>
      </c>
      <c r="BL20" s="1">
        <v>492826.7</v>
      </c>
      <c r="BM20" s="1">
        <v>8297883000</v>
      </c>
      <c r="BN20" s="1">
        <v>1723482000</v>
      </c>
      <c r="BO20" s="1">
        <v>3154.0430000000001</v>
      </c>
      <c r="BP20" s="1">
        <v>285531.5</v>
      </c>
      <c r="BQ20" s="1">
        <v>1752.2460000000001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1.6382239999999999E-7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10330.6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N20" s="1">
        <f t="shared" si="0"/>
        <v>7.4672517221119652E+18</v>
      </c>
      <c r="DP20" s="1">
        <f t="shared" si="1"/>
        <v>4.7980704726887982E-5</v>
      </c>
      <c r="DQ20" s="1">
        <f t="shared" si="2"/>
        <v>0.9872549197946352</v>
      </c>
      <c r="DR20" s="1">
        <f t="shared" si="3"/>
        <v>9.3081112819833528E-7</v>
      </c>
      <c r="DS20" s="1">
        <f t="shared" si="4"/>
        <v>2.8926130795937466E-3</v>
      </c>
      <c r="DT20" s="1">
        <f t="shared" si="5"/>
        <v>9.4120209972139712E-6</v>
      </c>
    </row>
    <row r="21" spans="1:124" x14ac:dyDescent="0.2">
      <c r="A21">
        <v>5321.8077579999999</v>
      </c>
      <c r="B21">
        <v>5177.9751159999996</v>
      </c>
      <c r="C21">
        <v>5465.6404000000002</v>
      </c>
      <c r="D21">
        <v>1606.3933360000001</v>
      </c>
      <c r="E21" s="1">
        <v>154093.70000000001</v>
      </c>
      <c r="F21" s="1">
        <v>4998608</v>
      </c>
      <c r="G21" s="1">
        <v>9.6675779999999999E-12</v>
      </c>
      <c r="H21" s="1">
        <v>299562100000000</v>
      </c>
      <c r="I21" s="1">
        <v>121556500000</v>
      </c>
      <c r="J21" s="1">
        <v>85.701570000000004</v>
      </c>
      <c r="K21" s="1">
        <v>1530.309</v>
      </c>
      <c r="L21" s="1">
        <v>5.824528E+16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1.139286</v>
      </c>
      <c r="Y21" s="1">
        <v>1.720428E+16</v>
      </c>
      <c r="Z21" s="1">
        <v>3727956000000</v>
      </c>
      <c r="AA21" s="1">
        <v>17352080000</v>
      </c>
      <c r="AB21" s="1">
        <v>594.89160000000004</v>
      </c>
      <c r="AC21" s="1">
        <v>9830319</v>
      </c>
      <c r="AD21" s="1">
        <v>9.4356939999999992E-12</v>
      </c>
      <c r="AE21" s="1">
        <v>3.6074189999999999E-6</v>
      </c>
      <c r="AF21" s="1">
        <v>20792050</v>
      </c>
      <c r="AG21" s="1">
        <v>760.32619999999997</v>
      </c>
      <c r="AH21" s="1">
        <v>2528532</v>
      </c>
      <c r="AI21" s="1">
        <v>78.454040000000006</v>
      </c>
      <c r="AJ21" s="1">
        <v>1.920334</v>
      </c>
      <c r="AK21" s="1">
        <v>178.60720000000001</v>
      </c>
      <c r="AL21" s="1">
        <v>223.51669999999999</v>
      </c>
      <c r="AM21" s="1">
        <v>98.145330000000001</v>
      </c>
      <c r="AN21" s="1">
        <v>2.8633970000000002E-2</v>
      </c>
      <c r="AO21" s="1">
        <v>5.2172719999999997E-5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56462540000000</v>
      </c>
      <c r="BF21" s="1">
        <v>5.871402E+18</v>
      </c>
      <c r="BG21" s="1">
        <v>22615.59</v>
      </c>
      <c r="BH21" s="1">
        <v>0</v>
      </c>
      <c r="BI21" s="1">
        <v>1.9877720000000001</v>
      </c>
      <c r="BJ21" s="1">
        <v>0</v>
      </c>
      <c r="BK21" s="1">
        <v>56.136099999999999</v>
      </c>
      <c r="BL21" s="1">
        <v>289556.7</v>
      </c>
      <c r="BM21" s="1">
        <v>4670397000</v>
      </c>
      <c r="BN21" s="1">
        <v>1168559000</v>
      </c>
      <c r="BO21" s="1">
        <v>1707.5989999999999</v>
      </c>
      <c r="BP21" s="1">
        <v>191941.8</v>
      </c>
      <c r="BQ21" s="1">
        <v>929.00630000000001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8.2571050000000001E-8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5996.83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N21" s="1">
        <f t="shared" si="0"/>
        <v>5.9472114573822024E+18</v>
      </c>
      <c r="DP21" s="1">
        <f t="shared" si="1"/>
        <v>5.0370178048429259E-5</v>
      </c>
      <c r="DQ21" s="1">
        <f t="shared" si="2"/>
        <v>0.98725294065538882</v>
      </c>
      <c r="DR21" s="1">
        <f t="shared" si="3"/>
        <v>6.2684100384097376E-7</v>
      </c>
      <c r="DS21" s="1">
        <f t="shared" si="4"/>
        <v>2.8928313922055911E-3</v>
      </c>
      <c r="DT21" s="1">
        <f t="shared" si="5"/>
        <v>9.4939519814641404E-6</v>
      </c>
    </row>
    <row r="22" spans="1:124" x14ac:dyDescent="0.2">
      <c r="A22">
        <v>5609.4730419999996</v>
      </c>
      <c r="B22">
        <v>5465.6404000000002</v>
      </c>
      <c r="C22">
        <v>5753.3056839999999</v>
      </c>
      <c r="D22">
        <v>1594.696054</v>
      </c>
      <c r="E22" s="1">
        <v>122077.6</v>
      </c>
      <c r="F22" s="1">
        <v>3815527</v>
      </c>
      <c r="G22" s="1">
        <v>5.9505319999999996E-12</v>
      </c>
      <c r="H22" s="1">
        <v>237328200000000</v>
      </c>
      <c r="I22" s="1">
        <v>93049120000</v>
      </c>
      <c r="J22" s="1">
        <v>58.414239999999999</v>
      </c>
      <c r="K22" s="1">
        <v>1002.027</v>
      </c>
      <c r="L22" s="1">
        <v>4.648051E+16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0.65998100000000004</v>
      </c>
      <c r="Y22" s="1">
        <v>1.372985E+16</v>
      </c>
      <c r="Z22" s="1">
        <v>2115666000000</v>
      </c>
      <c r="AA22" s="1">
        <v>11041370000</v>
      </c>
      <c r="AB22" s="1">
        <v>379.03539999999998</v>
      </c>
      <c r="AC22" s="1">
        <v>5222383</v>
      </c>
      <c r="AD22" s="1">
        <v>4.1667919999999998E-12</v>
      </c>
      <c r="AE22" s="1">
        <v>1.672373E-6</v>
      </c>
      <c r="AF22" s="1">
        <v>10694440</v>
      </c>
      <c r="AG22" s="1">
        <v>336.69729999999998</v>
      </c>
      <c r="AH22" s="1">
        <v>1141089</v>
      </c>
      <c r="AI22" s="1">
        <v>30.421679999999999</v>
      </c>
      <c r="AJ22" s="1">
        <v>0.74234160000000005</v>
      </c>
      <c r="AK22" s="1">
        <v>92.308109999999999</v>
      </c>
      <c r="AL22" s="1">
        <v>119.22199999999999</v>
      </c>
      <c r="AM22" s="1">
        <v>44.836910000000003</v>
      </c>
      <c r="AN22" s="1">
        <v>1.1914559999999999E-2</v>
      </c>
      <c r="AO22" s="1">
        <v>1.889528E-5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45789790000000</v>
      </c>
      <c r="BF22" s="1">
        <v>4.685621E+18</v>
      </c>
      <c r="BG22" s="1">
        <v>17298.66</v>
      </c>
      <c r="BH22" s="1">
        <v>0</v>
      </c>
      <c r="BI22" s="1">
        <v>1.3676980000000001</v>
      </c>
      <c r="BJ22" s="1">
        <v>0</v>
      </c>
      <c r="BK22" s="1">
        <v>31.037279999999999</v>
      </c>
      <c r="BL22" s="1">
        <v>160104.79999999999</v>
      </c>
      <c r="BM22" s="1">
        <v>2628904000</v>
      </c>
      <c r="BN22" s="1">
        <v>763657100</v>
      </c>
      <c r="BO22" s="1">
        <v>895.02650000000006</v>
      </c>
      <c r="BP22" s="1">
        <v>123492.4</v>
      </c>
      <c r="BQ22" s="1">
        <v>468.27949999999998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3.7941069999999998E-8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3242.7420000000002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N22" s="1">
        <f t="shared" si="0"/>
        <v>4.7461167011602319E+18</v>
      </c>
      <c r="DP22" s="1">
        <f t="shared" si="1"/>
        <v>5.0004712261285722E-5</v>
      </c>
      <c r="DQ22" s="1">
        <f t="shared" si="2"/>
        <v>0.98725364229972612</v>
      </c>
      <c r="DR22" s="1">
        <f t="shared" si="3"/>
        <v>4.4576779991162166E-7</v>
      </c>
      <c r="DS22" s="1">
        <f t="shared" si="4"/>
        <v>2.8928597555647152E-3</v>
      </c>
      <c r="DT22" s="1">
        <f t="shared" si="5"/>
        <v>9.6478432544244573E-6</v>
      </c>
    </row>
    <row r="23" spans="1:124" x14ac:dyDescent="0.2">
      <c r="A23">
        <v>5897.1383260000002</v>
      </c>
      <c r="B23">
        <v>5753.3056839999999</v>
      </c>
      <c r="C23">
        <v>6040.9709679999996</v>
      </c>
      <c r="D23">
        <v>1576.878708</v>
      </c>
      <c r="E23" s="1">
        <v>96503.71</v>
      </c>
      <c r="F23" s="1">
        <v>2509698</v>
      </c>
      <c r="G23" s="1">
        <v>2.8036349999999999E-12</v>
      </c>
      <c r="H23" s="1">
        <v>176153900000000</v>
      </c>
      <c r="I23" s="1">
        <v>65469100000</v>
      </c>
      <c r="J23" s="1">
        <v>34.333710000000004</v>
      </c>
      <c r="K23" s="1">
        <v>589.4855</v>
      </c>
      <c r="L23" s="1">
        <v>3.715719E+16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0.3209362</v>
      </c>
      <c r="Y23" s="1">
        <v>1.097571E+16</v>
      </c>
      <c r="Z23" s="1">
        <v>1283090000000</v>
      </c>
      <c r="AA23" s="1">
        <v>7048772000</v>
      </c>
      <c r="AB23" s="1">
        <v>242.60220000000001</v>
      </c>
      <c r="AC23" s="1">
        <v>2859391</v>
      </c>
      <c r="AD23" s="1">
        <v>1.7134569999999999E-12</v>
      </c>
      <c r="AE23" s="1">
        <v>6.5288000000000001E-7</v>
      </c>
      <c r="AF23" s="1">
        <v>5567863</v>
      </c>
      <c r="AG23" s="1">
        <v>147.9999</v>
      </c>
      <c r="AH23" s="1">
        <v>550287.80000000005</v>
      </c>
      <c r="AI23" s="1">
        <v>12.34976</v>
      </c>
      <c r="AJ23" s="1">
        <v>0.31954349999999998</v>
      </c>
      <c r="AK23" s="1">
        <v>45.455080000000002</v>
      </c>
      <c r="AL23" s="1">
        <v>65.67783</v>
      </c>
      <c r="AM23" s="1">
        <v>20.689039999999999</v>
      </c>
      <c r="AN23" s="1">
        <v>5.0677129999999997E-3</v>
      </c>
      <c r="AO23" s="1">
        <v>6.9023360000000001E-6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37543080000000</v>
      </c>
      <c r="BF23" s="1">
        <v>3.745897E+18</v>
      </c>
      <c r="BG23" s="1">
        <v>11415.39</v>
      </c>
      <c r="BH23" s="1">
        <v>0</v>
      </c>
      <c r="BI23" s="1">
        <v>0.76578100000000004</v>
      </c>
      <c r="BJ23" s="1">
        <v>0</v>
      </c>
      <c r="BK23" s="1">
        <v>14.95416</v>
      </c>
      <c r="BL23" s="1">
        <v>82173.350000000006</v>
      </c>
      <c r="BM23" s="1">
        <v>1477683000</v>
      </c>
      <c r="BN23" s="1">
        <v>476938800</v>
      </c>
      <c r="BO23" s="1">
        <v>450.58929999999998</v>
      </c>
      <c r="BP23" s="1">
        <v>75307.86</v>
      </c>
      <c r="BQ23" s="1">
        <v>221.76329999999999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1.5576889999999999E-8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1607.6420000000001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N23" s="1">
        <f t="shared" si="0"/>
        <v>3.794244954554153E+18</v>
      </c>
      <c r="DP23" s="1">
        <f t="shared" si="1"/>
        <v>4.6426601895738476E-5</v>
      </c>
      <c r="DQ23" s="1">
        <f t="shared" si="2"/>
        <v>0.9872575558159149</v>
      </c>
      <c r="DR23" s="1">
        <f t="shared" si="3"/>
        <v>3.3816741284980396E-7</v>
      </c>
      <c r="DS23" s="1">
        <f t="shared" si="4"/>
        <v>2.8927257284288104E-3</v>
      </c>
      <c r="DT23" s="1">
        <f t="shared" si="5"/>
        <v>9.8947433414750473E-6</v>
      </c>
    </row>
    <row r="24" spans="1:124" x14ac:dyDescent="0.2">
      <c r="A24">
        <v>6184.8036099999999</v>
      </c>
      <c r="B24">
        <v>6040.9709679999996</v>
      </c>
      <c r="C24">
        <v>6328.6362520000002</v>
      </c>
      <c r="D24">
        <v>1553.292031</v>
      </c>
      <c r="E24" s="1">
        <v>76049.52</v>
      </c>
      <c r="F24" s="1">
        <v>1419954</v>
      </c>
      <c r="G24" s="1">
        <v>1.0079670000000001E-12</v>
      </c>
      <c r="H24" s="1">
        <v>122324700000000</v>
      </c>
      <c r="I24" s="1">
        <v>42277060000</v>
      </c>
      <c r="J24" s="1">
        <v>17.362690000000001</v>
      </c>
      <c r="K24" s="1">
        <v>310.85270000000003</v>
      </c>
      <c r="L24" s="1">
        <v>2.972505E+16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0.1306399</v>
      </c>
      <c r="Y24" s="1">
        <v>8779870000000000</v>
      </c>
      <c r="Z24" s="1">
        <v>829644200000</v>
      </c>
      <c r="AA24" s="1">
        <v>4505290000</v>
      </c>
      <c r="AB24" s="1">
        <v>155.60919999999999</v>
      </c>
      <c r="AC24" s="1">
        <v>1609017</v>
      </c>
      <c r="AD24" s="1">
        <v>6.5339980000000001E-13</v>
      </c>
      <c r="AE24" s="1">
        <v>2.1386729999999999E-7</v>
      </c>
      <c r="AF24" s="1">
        <v>2925718</v>
      </c>
      <c r="AG24" s="1">
        <v>64.350560000000002</v>
      </c>
      <c r="AH24" s="1">
        <v>282640.90000000002</v>
      </c>
      <c r="AI24" s="1">
        <v>5.227608</v>
      </c>
      <c r="AJ24" s="1">
        <v>0.1525513</v>
      </c>
      <c r="AK24" s="1">
        <v>21.261679999999998</v>
      </c>
      <c r="AL24" s="1">
        <v>37.264969999999998</v>
      </c>
      <c r="AM24" s="1">
        <v>9.6090929999999997</v>
      </c>
      <c r="AN24" s="1">
        <v>2.1944949999999999E-3</v>
      </c>
      <c r="AO24" s="1">
        <v>2.531322E-6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31083580000000</v>
      </c>
      <c r="BF24" s="1">
        <v>2.996782E+18</v>
      </c>
      <c r="BG24" s="1">
        <v>6487.3159999999998</v>
      </c>
      <c r="BH24" s="1">
        <v>0</v>
      </c>
      <c r="BI24" s="1">
        <v>0.34808509999999998</v>
      </c>
      <c r="BJ24" s="1">
        <v>0</v>
      </c>
      <c r="BK24" s="1">
        <v>6.2607100000000004</v>
      </c>
      <c r="BL24" s="1">
        <v>39043.56</v>
      </c>
      <c r="BM24" s="1">
        <v>827387900</v>
      </c>
      <c r="BN24" s="1">
        <v>284101000</v>
      </c>
      <c r="BO24" s="1">
        <v>217.19980000000001</v>
      </c>
      <c r="BP24" s="1">
        <v>43427.77</v>
      </c>
      <c r="BQ24" s="1">
        <v>98.369320000000002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5.6909129999999999E-9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728.70870000000002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N24" s="1">
        <f t="shared" si="0"/>
        <v>3.0354412058243666E+18</v>
      </c>
      <c r="DP24" s="1">
        <f t="shared" si="1"/>
        <v>4.0298820403862506E-5</v>
      </c>
      <c r="DQ24" s="1">
        <f t="shared" si="2"/>
        <v>0.98726405711624798</v>
      </c>
      <c r="DR24" s="1">
        <f t="shared" si="3"/>
        <v>2.7331914662293216E-7</v>
      </c>
      <c r="DS24" s="1">
        <f t="shared" si="4"/>
        <v>2.8924526632745497E-3</v>
      </c>
      <c r="DT24" s="1">
        <f t="shared" si="5"/>
        <v>1.0240218107455752E-5</v>
      </c>
    </row>
    <row r="25" spans="1:124" x14ac:dyDescent="0.2">
      <c r="A25">
        <v>6472.468895</v>
      </c>
      <c r="B25">
        <v>6328.6362520000002</v>
      </c>
      <c r="C25">
        <v>6616.3015370000003</v>
      </c>
      <c r="D25">
        <v>1525.512561</v>
      </c>
      <c r="E25" s="1">
        <v>59691.91</v>
      </c>
      <c r="F25" s="1">
        <v>709609.9</v>
      </c>
      <c r="G25" s="1">
        <v>2.9003470000000001E-13</v>
      </c>
      <c r="H25" s="1">
        <v>80343350000000</v>
      </c>
      <c r="I25" s="1">
        <v>25417210000</v>
      </c>
      <c r="J25" s="1">
        <v>7.7514750000000001</v>
      </c>
      <c r="K25" s="1">
        <v>149.56870000000001</v>
      </c>
      <c r="L25" s="1">
        <v>2.375515E+16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4.5865599999999999E-2</v>
      </c>
      <c r="Y25" s="1">
        <v>7015928000000000</v>
      </c>
      <c r="Z25" s="1">
        <v>562978600000</v>
      </c>
      <c r="AA25" s="1">
        <v>2873718000</v>
      </c>
      <c r="AB25" s="1">
        <v>99.683210000000003</v>
      </c>
      <c r="AC25" s="1">
        <v>921920.7</v>
      </c>
      <c r="AD25" s="1">
        <v>2.3312509999999999E-13</v>
      </c>
      <c r="AE25" s="1">
        <v>6.0457560000000003E-8</v>
      </c>
      <c r="AF25" s="1">
        <v>1542234</v>
      </c>
      <c r="AG25" s="1">
        <v>27.587499999999999</v>
      </c>
      <c r="AH25" s="1">
        <v>152005.5</v>
      </c>
      <c r="AI25" s="1">
        <v>2.275318</v>
      </c>
      <c r="AJ25" s="1">
        <v>7.8728580000000006E-2</v>
      </c>
      <c r="AK25" s="1">
        <v>9.4976859999999999</v>
      </c>
      <c r="AL25" s="1">
        <v>21.567519999999998</v>
      </c>
      <c r="AM25" s="1">
        <v>4.4639490000000004</v>
      </c>
      <c r="AN25" s="1">
        <v>9.5877639999999997E-4</v>
      </c>
      <c r="AO25" s="1">
        <v>9.2522200000000002E-7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25901450000000</v>
      </c>
      <c r="BF25" s="1">
        <v>2.395043E+18</v>
      </c>
      <c r="BG25" s="1">
        <v>3259.4969999999998</v>
      </c>
      <c r="BH25" s="1">
        <v>0</v>
      </c>
      <c r="BI25" s="1">
        <v>0.1332565</v>
      </c>
      <c r="BJ25" s="1">
        <v>0</v>
      </c>
      <c r="BK25" s="1">
        <v>2.329545</v>
      </c>
      <c r="BL25" s="1">
        <v>17357.27</v>
      </c>
      <c r="BM25" s="1">
        <v>460079900</v>
      </c>
      <c r="BN25" s="1">
        <v>162391700</v>
      </c>
      <c r="BO25" s="1">
        <v>100.6443</v>
      </c>
      <c r="BP25" s="1">
        <v>23862.44</v>
      </c>
      <c r="BQ25" s="1">
        <v>41.193489999999997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1.8817530000000002E-9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305.90390000000002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N25" s="1">
        <f t="shared" si="0"/>
        <v>2.4259209146953708E+18</v>
      </c>
      <c r="DP25" s="1">
        <f t="shared" si="1"/>
        <v>3.3118701237665418E-5</v>
      </c>
      <c r="DQ25" s="1">
        <f t="shared" si="2"/>
        <v>0.9872716729929969</v>
      </c>
      <c r="DR25" s="1">
        <f t="shared" si="3"/>
        <v>2.3206799388622885E-7</v>
      </c>
      <c r="DS25" s="1">
        <f t="shared" si="4"/>
        <v>2.8920678978032592E-3</v>
      </c>
      <c r="DT25" s="1">
        <f t="shared" si="5"/>
        <v>1.0676955643153153E-5</v>
      </c>
    </row>
    <row r="26" spans="1:124" x14ac:dyDescent="0.2">
      <c r="A26">
        <v>6760.1341789999997</v>
      </c>
      <c r="B26">
        <v>6616.3015370000003</v>
      </c>
      <c r="C26">
        <v>6903.966821</v>
      </c>
      <c r="D26">
        <v>1495.964749</v>
      </c>
      <c r="E26" s="1">
        <v>46637.2</v>
      </c>
      <c r="F26" s="1">
        <v>329765.8</v>
      </c>
      <c r="G26" s="1">
        <v>7.3269959999999994E-14</v>
      </c>
      <c r="H26" s="1">
        <v>51014580000000</v>
      </c>
      <c r="I26" s="1">
        <v>14636110000</v>
      </c>
      <c r="J26" s="1">
        <v>3.2134589999999998</v>
      </c>
      <c r="K26" s="1">
        <v>68.051699999999997</v>
      </c>
      <c r="L26" s="1">
        <v>1.892542E+16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1.4732200000000001E-2</v>
      </c>
      <c r="Y26" s="1">
        <v>5588885000000000</v>
      </c>
      <c r="Z26" s="1">
        <v>390227400000</v>
      </c>
      <c r="AA26" s="1">
        <v>1822225000</v>
      </c>
      <c r="AB26" s="1">
        <v>63.527639999999998</v>
      </c>
      <c r="AC26" s="1">
        <v>530225.9</v>
      </c>
      <c r="AD26" s="1">
        <v>7.9473099999999998E-14</v>
      </c>
      <c r="AE26" s="1">
        <v>1.560497E-8</v>
      </c>
      <c r="AF26" s="1">
        <v>808861.4</v>
      </c>
      <c r="AG26" s="1">
        <v>11.635160000000001</v>
      </c>
      <c r="AH26" s="1">
        <v>83212.42</v>
      </c>
      <c r="AI26" s="1">
        <v>0.99629719999999999</v>
      </c>
      <c r="AJ26" s="1">
        <v>4.2043490000000003E-2</v>
      </c>
      <c r="AK26" s="1">
        <v>4.1062079999999996</v>
      </c>
      <c r="AL26" s="1">
        <v>12.54156</v>
      </c>
      <c r="AM26" s="1">
        <v>2.0574520000000001</v>
      </c>
      <c r="AN26" s="1">
        <v>4.1729359999999999E-4</v>
      </c>
      <c r="AO26" s="1">
        <v>3.3411729999999998E-7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21614320000000</v>
      </c>
      <c r="BF26" s="1">
        <v>1.908211E+18</v>
      </c>
      <c r="BG26" s="1">
        <v>1523.81</v>
      </c>
      <c r="BH26" s="1">
        <v>0</v>
      </c>
      <c r="BI26" s="1">
        <v>4.6136290000000003E-2</v>
      </c>
      <c r="BJ26" s="1">
        <v>0</v>
      </c>
      <c r="BK26" s="1">
        <v>0.80614509999999995</v>
      </c>
      <c r="BL26" s="1">
        <v>7386.7650000000003</v>
      </c>
      <c r="BM26" s="1">
        <v>253304300</v>
      </c>
      <c r="BN26" s="1">
        <v>90283310</v>
      </c>
      <c r="BO26" s="1">
        <v>45.311779999999999</v>
      </c>
      <c r="BP26" s="1">
        <v>12702.58</v>
      </c>
      <c r="BQ26" s="1">
        <v>16.581869999999999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5.8369990000000003E-10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122.1917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N26" s="1">
        <f t="shared" si="0"/>
        <v>1.9327983409310966E+18</v>
      </c>
      <c r="DP26" s="1">
        <f t="shared" si="1"/>
        <v>2.6394155520344919E-5</v>
      </c>
      <c r="DQ26" s="1">
        <f t="shared" si="2"/>
        <v>0.98727888967493005</v>
      </c>
      <c r="DR26" s="1">
        <f t="shared" si="3"/>
        <v>2.0189762777425285E-7</v>
      </c>
      <c r="DS26" s="1">
        <f t="shared" si="4"/>
        <v>2.891602751121795E-3</v>
      </c>
      <c r="DT26" s="1">
        <f t="shared" si="5"/>
        <v>1.1182915228283787E-5</v>
      </c>
    </row>
    <row r="27" spans="1:124" x14ac:dyDescent="0.2">
      <c r="A27">
        <v>7047.7994630000003</v>
      </c>
      <c r="B27">
        <v>6903.966821</v>
      </c>
      <c r="C27">
        <v>7191.6321049999997</v>
      </c>
      <c r="D27">
        <v>1466.7448509999999</v>
      </c>
      <c r="E27" s="1">
        <v>36259.56</v>
      </c>
      <c r="F27" s="1">
        <v>150001.79999999999</v>
      </c>
      <c r="G27" s="1">
        <v>1.7822439999999999E-14</v>
      </c>
      <c r="H27" s="1">
        <v>32016730000000</v>
      </c>
      <c r="I27" s="1">
        <v>8304364000</v>
      </c>
      <c r="J27" s="1">
        <v>1.301215</v>
      </c>
      <c r="K27" s="1">
        <v>30.357880000000002</v>
      </c>
      <c r="L27" s="1">
        <v>1.50064E+16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4.5906819999999996E-3</v>
      </c>
      <c r="Y27" s="1">
        <v>4431001000000000</v>
      </c>
      <c r="Z27" s="1">
        <v>269427400000</v>
      </c>
      <c r="AA27" s="1">
        <v>1145551000</v>
      </c>
      <c r="AB27" s="1">
        <v>40.216209999999997</v>
      </c>
      <c r="AC27" s="1">
        <v>302498.3</v>
      </c>
      <c r="AD27" s="1">
        <v>2.6503429999999998E-14</v>
      </c>
      <c r="AE27" s="1">
        <v>3.89072E-9</v>
      </c>
      <c r="AF27" s="1">
        <v>419439.5</v>
      </c>
      <c r="AG27" s="1">
        <v>4.8252800000000002</v>
      </c>
      <c r="AH27" s="1">
        <v>45197.440000000002</v>
      </c>
      <c r="AI27" s="1">
        <v>0.4306005</v>
      </c>
      <c r="AJ27" s="1">
        <v>2.2320719999999999E-2</v>
      </c>
      <c r="AK27" s="1">
        <v>1.7436229999999999</v>
      </c>
      <c r="AL27" s="1">
        <v>7.2331099999999999</v>
      </c>
      <c r="AM27" s="1">
        <v>0.93527099999999996</v>
      </c>
      <c r="AN27" s="1">
        <v>1.7918710000000001E-4</v>
      </c>
      <c r="AO27" s="1">
        <v>1.185589E-7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17996640000000</v>
      </c>
      <c r="BF27" s="1">
        <v>1.513159E+18</v>
      </c>
      <c r="BG27" s="1">
        <v>697.51160000000004</v>
      </c>
      <c r="BH27" s="1">
        <v>0</v>
      </c>
      <c r="BI27" s="1">
        <v>1.550351E-2</v>
      </c>
      <c r="BJ27" s="1">
        <v>0</v>
      </c>
      <c r="BK27" s="1">
        <v>0.27150089999999999</v>
      </c>
      <c r="BL27" s="1">
        <v>3080.2249999999999</v>
      </c>
      <c r="BM27" s="1">
        <v>137815400</v>
      </c>
      <c r="BN27" s="1">
        <v>49508390</v>
      </c>
      <c r="BO27" s="1">
        <v>20.066890000000001</v>
      </c>
      <c r="BP27" s="1">
        <v>6667.875</v>
      </c>
      <c r="BQ27" s="1">
        <v>6.5386559999999996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1.7636119999999999E-10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47.727710000000002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N27" s="1">
        <f t="shared" si="0"/>
        <v>1.5326466934355663E+18</v>
      </c>
      <c r="DP27" s="1">
        <f t="shared" si="1"/>
        <v>2.0889830733416847E-5</v>
      </c>
      <c r="DQ27" s="1">
        <f t="shared" si="2"/>
        <v>0.98728494080270846</v>
      </c>
      <c r="DR27" s="1">
        <f t="shared" si="3"/>
        <v>1.7579224302246336E-7</v>
      </c>
      <c r="DS27" s="1">
        <f t="shared" si="4"/>
        <v>2.8910779105049385E-3</v>
      </c>
      <c r="DT27" s="1">
        <f t="shared" si="5"/>
        <v>1.1742197387748184E-5</v>
      </c>
    </row>
    <row r="28" spans="1:124" x14ac:dyDescent="0.2">
      <c r="A28">
        <v>7335.464747</v>
      </c>
      <c r="B28">
        <v>7191.6321049999997</v>
      </c>
      <c r="C28">
        <v>7479.2973890000003</v>
      </c>
      <c r="D28">
        <v>1438.813768</v>
      </c>
      <c r="E28" s="1">
        <v>28052.43</v>
      </c>
      <c r="F28" s="1">
        <v>68536.77</v>
      </c>
      <c r="G28" s="1">
        <v>4.3713240000000003E-15</v>
      </c>
      <c r="H28" s="1">
        <v>20078520000000</v>
      </c>
      <c r="I28" s="1">
        <v>4711149000</v>
      </c>
      <c r="J28" s="1">
        <v>0.52791250000000001</v>
      </c>
      <c r="K28" s="1">
        <v>13.51694</v>
      </c>
      <c r="L28" s="1">
        <v>1.183444E+16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1.4325410000000001E-3</v>
      </c>
      <c r="Y28" s="1">
        <v>3493944000000000</v>
      </c>
      <c r="Z28" s="1">
        <v>182995700000</v>
      </c>
      <c r="AA28" s="1">
        <v>712633100</v>
      </c>
      <c r="AB28" s="1">
        <v>25.1919</v>
      </c>
      <c r="AC28" s="1">
        <v>169965.2</v>
      </c>
      <c r="AD28" s="1">
        <v>8.7258940000000003E-15</v>
      </c>
      <c r="AE28" s="1">
        <v>9.6753260000000007E-10</v>
      </c>
      <c r="AF28" s="1">
        <v>214568.5</v>
      </c>
      <c r="AG28" s="1">
        <v>1.970475</v>
      </c>
      <c r="AH28" s="1">
        <v>24055.35</v>
      </c>
      <c r="AI28" s="1">
        <v>0.18202699999999999</v>
      </c>
      <c r="AJ28" s="1">
        <v>1.153878E-2</v>
      </c>
      <c r="AK28" s="1">
        <v>0.73289029999999999</v>
      </c>
      <c r="AL28" s="1">
        <v>4.1084370000000003</v>
      </c>
      <c r="AM28" s="1">
        <v>0.4179505</v>
      </c>
      <c r="AN28" s="1">
        <v>7.5421910000000004E-5</v>
      </c>
      <c r="AO28" s="1">
        <v>4.1153479999999999E-8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14898650000000</v>
      </c>
      <c r="BF28" s="1">
        <v>1.193394E+18</v>
      </c>
      <c r="BG28" s="1">
        <v>320.69400000000002</v>
      </c>
      <c r="BH28" s="1">
        <v>0</v>
      </c>
      <c r="BI28" s="1">
        <v>5.2427760000000002E-3</v>
      </c>
      <c r="BJ28" s="1">
        <v>0</v>
      </c>
      <c r="BK28" s="1">
        <v>9.1228950000000003E-2</v>
      </c>
      <c r="BL28" s="1">
        <v>1275.69</v>
      </c>
      <c r="BM28" s="1">
        <v>74108930</v>
      </c>
      <c r="BN28" s="1">
        <v>26975190</v>
      </c>
      <c r="BO28" s="1">
        <v>8.7870729999999995</v>
      </c>
      <c r="BP28" s="1">
        <v>3478.66</v>
      </c>
      <c r="BQ28" s="1">
        <v>2.5561280000000002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5.279636E-11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18.522870000000001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N28" s="1">
        <f t="shared" si="0"/>
        <v>1.2087575496910484E+18</v>
      </c>
      <c r="DP28" s="1">
        <f t="shared" si="1"/>
        <v>1.6610874534046927E-5</v>
      </c>
      <c r="DQ28" s="1">
        <f t="shared" si="2"/>
        <v>0.98728980042774062</v>
      </c>
      <c r="DR28" s="1">
        <f t="shared" si="3"/>
        <v>1.5139156735506856E-7</v>
      </c>
      <c r="DS28" s="1">
        <f t="shared" si="4"/>
        <v>2.8905250692275158E-3</v>
      </c>
      <c r="DT28" s="1">
        <f t="shared" si="5"/>
        <v>1.2325590027386393E-5</v>
      </c>
    </row>
    <row r="29" spans="1:124" x14ac:dyDescent="0.2">
      <c r="A29">
        <v>7623.1300309999997</v>
      </c>
      <c r="B29">
        <v>7479.2973890000003</v>
      </c>
      <c r="C29">
        <v>7766.962673</v>
      </c>
      <c r="D29">
        <v>1412.160106</v>
      </c>
      <c r="E29" s="1">
        <v>21597.45</v>
      </c>
      <c r="F29" s="1">
        <v>31521.59</v>
      </c>
      <c r="G29" s="1">
        <v>1.0851940000000001E-15</v>
      </c>
      <c r="H29" s="1">
        <v>12594320000000</v>
      </c>
      <c r="I29" s="1">
        <v>2675591000</v>
      </c>
      <c r="J29" s="1">
        <v>0.2150464</v>
      </c>
      <c r="K29" s="1">
        <v>6.0164179999999998</v>
      </c>
      <c r="L29" s="1">
        <v>9282659000000000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4.4957850000000002E-4</v>
      </c>
      <c r="Y29" s="1">
        <v>2740191000000000</v>
      </c>
      <c r="Z29" s="1">
        <v>122383600000</v>
      </c>
      <c r="AA29" s="1">
        <v>438703600</v>
      </c>
      <c r="AB29" s="1">
        <v>15.615270000000001</v>
      </c>
      <c r="AC29" s="1">
        <v>94186.81</v>
      </c>
      <c r="AD29" s="1">
        <v>2.840504E-15</v>
      </c>
      <c r="AE29" s="1">
        <v>2.414097E-10</v>
      </c>
      <c r="AF29" s="1">
        <v>108652.1</v>
      </c>
      <c r="AG29" s="1">
        <v>0.79528980000000005</v>
      </c>
      <c r="AH29" s="1">
        <v>12578.97</v>
      </c>
      <c r="AI29" s="1">
        <v>7.5486360000000002E-2</v>
      </c>
      <c r="AJ29" s="1">
        <v>5.8210529999999996E-3</v>
      </c>
      <c r="AK29" s="1">
        <v>0.30570399999999998</v>
      </c>
      <c r="AL29" s="1">
        <v>2.301669</v>
      </c>
      <c r="AM29" s="1">
        <v>0.18392900000000001</v>
      </c>
      <c r="AN29" s="1">
        <v>3.1167839999999999E-5</v>
      </c>
      <c r="AO29" s="1">
        <v>1.3999349999999999E-8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12262100000000</v>
      </c>
      <c r="BF29" s="1">
        <v>9.361331E+17</v>
      </c>
      <c r="BG29" s="1">
        <v>148.40969999999999</v>
      </c>
      <c r="BH29" s="1">
        <v>0</v>
      </c>
      <c r="BI29" s="1">
        <v>1.789395E-3</v>
      </c>
      <c r="BJ29" s="1">
        <v>0</v>
      </c>
      <c r="BK29" s="1">
        <v>3.0698590000000001E-2</v>
      </c>
      <c r="BL29" s="1">
        <v>526.25660000000005</v>
      </c>
      <c r="BM29" s="1">
        <v>39461800</v>
      </c>
      <c r="BN29" s="1">
        <v>14614100</v>
      </c>
      <c r="BO29" s="1">
        <v>3.8086989999999998</v>
      </c>
      <c r="BP29" s="1">
        <v>1805.1880000000001</v>
      </c>
      <c r="BQ29" s="1">
        <v>0.99503580000000003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1.568634E-11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7.1645000000000003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N29" s="1">
        <f t="shared" si="0"/>
        <v>9.481809319722199E+17</v>
      </c>
      <c r="DP29" s="1">
        <f t="shared" si="1"/>
        <v>1.3282612606228821E-5</v>
      </c>
      <c r="DQ29" s="1">
        <f t="shared" si="2"/>
        <v>0.98729374155715155</v>
      </c>
      <c r="DR29" s="1">
        <f t="shared" si="3"/>
        <v>1.2907199024287658E-7</v>
      </c>
      <c r="DS29" s="1">
        <f t="shared" si="4"/>
        <v>2.8899452705723498E-3</v>
      </c>
      <c r="DT29" s="1">
        <f t="shared" si="5"/>
        <v>1.2932236439826718E-5</v>
      </c>
    </row>
    <row r="30" spans="1:124" x14ac:dyDescent="0.2">
      <c r="A30">
        <v>7910.7953159999997</v>
      </c>
      <c r="B30">
        <v>7766.962673</v>
      </c>
      <c r="C30">
        <v>8054.627958</v>
      </c>
      <c r="D30">
        <v>1386.439433</v>
      </c>
      <c r="E30" s="1">
        <v>16547.64</v>
      </c>
      <c r="F30" s="1">
        <v>14484.39</v>
      </c>
      <c r="G30" s="1">
        <v>2.6909790000000001E-16</v>
      </c>
      <c r="H30" s="1">
        <v>7877620000000</v>
      </c>
      <c r="I30" s="1">
        <v>1514709000</v>
      </c>
      <c r="J30" s="1">
        <v>8.7310789999999999E-2</v>
      </c>
      <c r="K30" s="1">
        <v>2.6635719999999998</v>
      </c>
      <c r="L30" s="1">
        <v>7243682000000000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1.4109039999999999E-4</v>
      </c>
      <c r="Y30" s="1">
        <v>2137977000000000</v>
      </c>
      <c r="Z30" s="1">
        <v>81210920000</v>
      </c>
      <c r="AA30" s="1">
        <v>267456700</v>
      </c>
      <c r="AB30" s="1">
        <v>9.5970929999999992</v>
      </c>
      <c r="AC30" s="1">
        <v>51789.56</v>
      </c>
      <c r="AD30" s="1">
        <v>9.1334669999999994E-16</v>
      </c>
      <c r="AE30" s="1">
        <v>6.0303860000000006E-11</v>
      </c>
      <c r="AF30" s="1">
        <v>54921.91</v>
      </c>
      <c r="AG30" s="1">
        <v>0.31953359999999997</v>
      </c>
      <c r="AH30" s="1">
        <v>6538.0950000000003</v>
      </c>
      <c r="AI30" s="1">
        <v>3.1033870000000002E-2</v>
      </c>
      <c r="AJ30" s="1">
        <v>2.9070120000000001E-3</v>
      </c>
      <c r="AK30" s="1">
        <v>0.12676219999999999</v>
      </c>
      <c r="AL30" s="1">
        <v>1.2799290000000001</v>
      </c>
      <c r="AM30" s="1">
        <v>8.011712E-2</v>
      </c>
      <c r="AN30" s="1">
        <v>1.272646E-5</v>
      </c>
      <c r="AO30" s="1">
        <v>4.694634E-9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10048150000000</v>
      </c>
      <c r="BF30" s="1">
        <v>7.305585E+17</v>
      </c>
      <c r="BG30" s="1">
        <v>68.62621</v>
      </c>
      <c r="BH30" s="1">
        <v>0</v>
      </c>
      <c r="BI30" s="1">
        <v>6.09933E-4</v>
      </c>
      <c r="BJ30" s="1">
        <v>0</v>
      </c>
      <c r="BK30" s="1">
        <v>1.030646E-2</v>
      </c>
      <c r="BL30" s="1">
        <v>216.18190000000001</v>
      </c>
      <c r="BM30" s="1">
        <v>20886380</v>
      </c>
      <c r="BN30" s="1">
        <v>7855822</v>
      </c>
      <c r="BO30" s="1">
        <v>1.633842</v>
      </c>
      <c r="BP30" s="1">
        <v>929.96</v>
      </c>
      <c r="BQ30" s="1">
        <v>0.38724180000000002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4.6051339999999997E-12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2.758975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N30" s="1">
        <f t="shared" si="0"/>
        <v>7.3995816779195699E+17</v>
      </c>
      <c r="DP30" s="1">
        <f t="shared" si="1"/>
        <v>1.0646034252864458E-5</v>
      </c>
      <c r="DQ30" s="1">
        <f t="shared" si="2"/>
        <v>0.98729702812794717</v>
      </c>
      <c r="DR30" s="1">
        <f t="shared" si="3"/>
        <v>1.097506906942243E-7</v>
      </c>
      <c r="DS30" s="1">
        <f t="shared" si="4"/>
        <v>2.8893214414805989E-3</v>
      </c>
      <c r="DT30" s="1">
        <f t="shared" si="5"/>
        <v>1.3579348721811918E-5</v>
      </c>
    </row>
    <row r="31" spans="1:124" x14ac:dyDescent="0.2">
      <c r="A31">
        <v>8198.4606000000003</v>
      </c>
      <c r="B31">
        <v>8054.627958</v>
      </c>
      <c r="C31">
        <v>8342.2932419999997</v>
      </c>
      <c r="D31">
        <v>1361.554304</v>
      </c>
      <c r="E31" s="1">
        <v>12617.58</v>
      </c>
      <c r="F31" s="1">
        <v>6638.9709999999995</v>
      </c>
      <c r="G31" s="1">
        <v>6.6459039999999999E-17</v>
      </c>
      <c r="H31" s="1">
        <v>4910063000000</v>
      </c>
      <c r="I31" s="1">
        <v>854028300</v>
      </c>
      <c r="J31" s="1">
        <v>3.5275510000000003E-2</v>
      </c>
      <c r="K31" s="1">
        <v>1.171556</v>
      </c>
      <c r="L31" s="1">
        <v>5623854000000000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4.4590720000000001E-5</v>
      </c>
      <c r="Y31" s="1">
        <v>1659615000000000</v>
      </c>
      <c r="Z31" s="1">
        <v>53995060000</v>
      </c>
      <c r="AA31" s="1">
        <v>161486800</v>
      </c>
      <c r="AB31" s="1">
        <v>5.8480119999999998</v>
      </c>
      <c r="AC31" s="1">
        <v>28518.78</v>
      </c>
      <c r="AD31" s="1">
        <v>2.9043369999999999E-16</v>
      </c>
      <c r="AE31" s="1">
        <v>1.5324980000000001E-11</v>
      </c>
      <c r="AF31" s="1">
        <v>28214.78</v>
      </c>
      <c r="AG31" s="1">
        <v>0.13010340000000001</v>
      </c>
      <c r="AH31" s="1">
        <v>3441.127</v>
      </c>
      <c r="AI31" s="1">
        <v>1.288339E-2</v>
      </c>
      <c r="AJ31" s="1">
        <v>1.4649579999999999E-3</v>
      </c>
      <c r="AK31" s="1">
        <v>5.2698439999999999E-2</v>
      </c>
      <c r="AL31" s="1">
        <v>0.71322949999999996</v>
      </c>
      <c r="AM31" s="1">
        <v>3.4859639999999997E-2</v>
      </c>
      <c r="AN31" s="1">
        <v>5.182171E-6</v>
      </c>
      <c r="AO31" s="1">
        <v>1.566322E-9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8198641000000</v>
      </c>
      <c r="BF31" s="1">
        <v>5.672333E+17</v>
      </c>
      <c r="BG31" s="1">
        <v>31.657340000000001</v>
      </c>
      <c r="BH31" s="1">
        <v>0</v>
      </c>
      <c r="BI31" s="1">
        <v>2.0716920000000001E-4</v>
      </c>
      <c r="BJ31" s="1">
        <v>0</v>
      </c>
      <c r="BK31" s="1">
        <v>3.4779839999999999E-3</v>
      </c>
      <c r="BL31" s="1">
        <v>89.167310000000001</v>
      </c>
      <c r="BM31" s="1">
        <v>11088190</v>
      </c>
      <c r="BN31" s="1">
        <v>4188307</v>
      </c>
      <c r="BO31" s="1">
        <v>0.69485189999999997</v>
      </c>
      <c r="BP31" s="1">
        <v>475.31459999999998</v>
      </c>
      <c r="BQ31" s="1">
        <v>0.15327569999999999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1.33421E-12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1.0664419999999999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N31" s="1">
        <f t="shared" si="0"/>
        <v>5.7452993272991891E+17</v>
      </c>
      <c r="DP31" s="1">
        <f t="shared" si="1"/>
        <v>8.5462266111523462E-6</v>
      </c>
      <c r="DQ31" s="1">
        <f t="shared" si="2"/>
        <v>0.98729982144664163</v>
      </c>
      <c r="DR31" s="1">
        <f t="shared" si="3"/>
        <v>9.3981282652130445E-8</v>
      </c>
      <c r="DS31" s="1">
        <f t="shared" si="4"/>
        <v>2.8886484505937296E-3</v>
      </c>
      <c r="DT31" s="1">
        <f t="shared" si="5"/>
        <v>1.4270172071006966E-5</v>
      </c>
    </row>
    <row r="32" spans="1:124" x14ac:dyDescent="0.2">
      <c r="A32">
        <v>8486.1258839999991</v>
      </c>
      <c r="B32">
        <v>8342.2932419999997</v>
      </c>
      <c r="C32">
        <v>8629.9585260000003</v>
      </c>
      <c r="D32">
        <v>1337.681832</v>
      </c>
      <c r="E32" s="1">
        <v>9572.393</v>
      </c>
      <c r="F32" s="1">
        <v>3055.8679999999999</v>
      </c>
      <c r="G32" s="1">
        <v>1.654229E-17</v>
      </c>
      <c r="H32" s="1">
        <v>3057716000000</v>
      </c>
      <c r="I32" s="1">
        <v>481372900</v>
      </c>
      <c r="J32" s="1">
        <v>1.427465E-2</v>
      </c>
      <c r="K32" s="1">
        <v>0.51419179999999998</v>
      </c>
      <c r="L32" s="1">
        <v>4342383000000000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1.4560670000000001E-5</v>
      </c>
      <c r="Y32" s="1">
        <v>1281231000000000</v>
      </c>
      <c r="Z32" s="1">
        <v>36461250000</v>
      </c>
      <c r="AA32" s="1">
        <v>96461130</v>
      </c>
      <c r="AB32" s="1">
        <v>3.5253640000000002</v>
      </c>
      <c r="AC32" s="1">
        <v>15961.93</v>
      </c>
      <c r="AD32" s="1">
        <v>9.1816279999999998E-17</v>
      </c>
      <c r="AE32" s="1">
        <v>4.1370200000000001E-12</v>
      </c>
      <c r="AF32" s="1">
        <v>15233.08</v>
      </c>
      <c r="AG32" s="1">
        <v>5.5573490000000003E-2</v>
      </c>
      <c r="AH32" s="1">
        <v>1890.905</v>
      </c>
      <c r="AI32" s="1">
        <v>5.5733409999999999E-3</v>
      </c>
      <c r="AJ32" s="1">
        <v>7.6629149999999995E-4</v>
      </c>
      <c r="AK32" s="1">
        <v>2.238501E-2</v>
      </c>
      <c r="AL32" s="1">
        <v>0.40428029999999998</v>
      </c>
      <c r="AM32" s="1">
        <v>1.5391770000000001E-2</v>
      </c>
      <c r="AN32" s="1">
        <v>2.135156E-6</v>
      </c>
      <c r="AO32" s="1">
        <v>5.2781459999999998E-10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6651012000000</v>
      </c>
      <c r="BF32" s="1">
        <v>4.380151E+17</v>
      </c>
      <c r="BG32" s="1">
        <v>14.66475</v>
      </c>
      <c r="BH32" s="1">
        <v>0</v>
      </c>
      <c r="BI32" s="1">
        <v>7.0785769999999994E-5</v>
      </c>
      <c r="BJ32" s="1">
        <v>0</v>
      </c>
      <c r="BK32" s="1">
        <v>1.2079599999999999E-3</v>
      </c>
      <c r="BL32" s="1">
        <v>37.706789999999998</v>
      </c>
      <c r="BM32" s="1">
        <v>6006299</v>
      </c>
      <c r="BN32" s="1">
        <v>2218279</v>
      </c>
      <c r="BO32" s="1">
        <v>0.29441129999999999</v>
      </c>
      <c r="BP32" s="1">
        <v>241.38820000000001</v>
      </c>
      <c r="BQ32" s="1">
        <v>6.4068399999999998E-2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3.827924E-13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0.42278139999999997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N32" s="1">
        <f t="shared" si="0"/>
        <v>4.4364845977534509E+17</v>
      </c>
      <c r="DP32" s="1">
        <f t="shared" si="1"/>
        <v>6.8922047008759315E-6</v>
      </c>
      <c r="DQ32" s="1">
        <f t="shared" si="2"/>
        <v>0.98730219918221351</v>
      </c>
      <c r="DR32" s="1">
        <f t="shared" si="3"/>
        <v>8.2185003005449997E-8</v>
      </c>
      <c r="DS32" s="1">
        <f t="shared" si="4"/>
        <v>2.8879419544221799E-3</v>
      </c>
      <c r="DT32" s="1">
        <f t="shared" si="5"/>
        <v>1.4991626485907203E-5</v>
      </c>
    </row>
    <row r="33" spans="1:124" x14ac:dyDescent="0.2">
      <c r="A33">
        <v>8773.7911679999997</v>
      </c>
      <c r="B33">
        <v>8629.9585260000003</v>
      </c>
      <c r="C33">
        <v>8917.6238099999991</v>
      </c>
      <c r="D33">
        <v>1314.1206870000001</v>
      </c>
      <c r="E33" s="1">
        <v>7224.9359999999997</v>
      </c>
      <c r="F33" s="1">
        <v>1381.942</v>
      </c>
      <c r="G33" s="1">
        <v>3.99016E-18</v>
      </c>
      <c r="H33" s="1">
        <v>1884504000000</v>
      </c>
      <c r="I33" s="1">
        <v>267917800</v>
      </c>
      <c r="J33" s="1">
        <v>5.6612019999999997E-3</v>
      </c>
      <c r="K33" s="1">
        <v>0.22172559999999999</v>
      </c>
      <c r="L33" s="1">
        <v>3335988000000000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4.8209169999999997E-6</v>
      </c>
      <c r="Y33" s="1">
        <v>984108600000000</v>
      </c>
      <c r="Z33" s="1">
        <v>25439780000</v>
      </c>
      <c r="AA33" s="1">
        <v>57049860</v>
      </c>
      <c r="AB33" s="1">
        <v>2.1047880000000001</v>
      </c>
      <c r="AC33" s="1">
        <v>9189.6890000000003</v>
      </c>
      <c r="AD33" s="1">
        <v>2.8649480000000002E-17</v>
      </c>
      <c r="AE33" s="1">
        <v>1.1735400000000001E-12</v>
      </c>
      <c r="AF33" s="1">
        <v>8786.7530000000006</v>
      </c>
      <c r="AG33" s="1">
        <v>2.524324E-2</v>
      </c>
      <c r="AH33" s="1">
        <v>1111.7729999999999</v>
      </c>
      <c r="AI33" s="1">
        <v>2.5674700000000001E-3</v>
      </c>
      <c r="AJ33" s="1">
        <v>4.2898900000000001E-4</v>
      </c>
      <c r="AK33" s="1">
        <v>9.7177140000000006E-3</v>
      </c>
      <c r="AL33" s="1">
        <v>0.235901</v>
      </c>
      <c r="AM33" s="1">
        <v>6.9591920000000003E-3</v>
      </c>
      <c r="AN33" s="1">
        <v>9.0000770000000004E-7</v>
      </c>
      <c r="AO33" s="1">
        <v>1.8126400000000001E-10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5374202000000</v>
      </c>
      <c r="BF33" s="1">
        <v>3.365276E+17</v>
      </c>
      <c r="BG33" s="1">
        <v>6.6750939999999996</v>
      </c>
      <c r="BH33" s="1">
        <v>0</v>
      </c>
      <c r="BI33" s="1">
        <v>2.3602779999999999E-5</v>
      </c>
      <c r="BJ33" s="1">
        <v>0</v>
      </c>
      <c r="BK33" s="1">
        <v>4.2613409999999998E-4</v>
      </c>
      <c r="BL33" s="1">
        <v>16.286860000000001</v>
      </c>
      <c r="BM33" s="1">
        <v>3343418</v>
      </c>
      <c r="BN33" s="1">
        <v>1159758</v>
      </c>
      <c r="BO33" s="1">
        <v>0.12390760000000001</v>
      </c>
      <c r="BP33" s="1">
        <v>120.88639999999999</v>
      </c>
      <c r="BQ33" s="1">
        <v>2.84335E-2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1.070291E-13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0.17094860000000001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N33" s="1">
        <f t="shared" si="0"/>
        <v>3.4085498107527142E+17</v>
      </c>
      <c r="DP33" s="1">
        <f t="shared" si="1"/>
        <v>5.528755936190478E-6</v>
      </c>
      <c r="DQ33" s="1">
        <f t="shared" si="2"/>
        <v>0.98730433376205873</v>
      </c>
      <c r="DR33" s="1">
        <f t="shared" si="3"/>
        <v>7.4635200928403343E-8</v>
      </c>
      <c r="DS33" s="1">
        <f t="shared" si="4"/>
        <v>2.8871768189964579E-3</v>
      </c>
      <c r="DT33" s="1">
        <f t="shared" si="5"/>
        <v>1.5766828412031357E-5</v>
      </c>
    </row>
    <row r="34" spans="1:124" x14ac:dyDescent="0.2">
      <c r="A34">
        <v>9061.4564520000004</v>
      </c>
      <c r="B34">
        <v>8917.6238099999991</v>
      </c>
      <c r="C34">
        <v>9205.2890939999997</v>
      </c>
      <c r="D34">
        <v>1289.2691159999999</v>
      </c>
      <c r="E34" s="1">
        <v>5425.1589999999997</v>
      </c>
      <c r="F34" s="1">
        <v>580.21320000000003</v>
      </c>
      <c r="G34" s="1">
        <v>8.4298499999999997E-19</v>
      </c>
      <c r="H34" s="1">
        <v>1121774000000</v>
      </c>
      <c r="I34" s="1">
        <v>142618100</v>
      </c>
      <c r="J34" s="1">
        <v>2.0805509999999999E-3</v>
      </c>
      <c r="K34" s="1">
        <v>9.0283100000000005E-2</v>
      </c>
      <c r="L34" s="1">
        <v>2553021000000000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1.4820299999999999E-6</v>
      </c>
      <c r="Y34" s="1">
        <v>752969900000000</v>
      </c>
      <c r="Z34" s="1">
        <v>18442400000</v>
      </c>
      <c r="AA34" s="1">
        <v>33495810</v>
      </c>
      <c r="AB34" s="1">
        <v>1.250178</v>
      </c>
      <c r="AC34" s="1">
        <v>5401.415</v>
      </c>
      <c r="AD34" s="1">
        <v>8.5804399999999999E-18</v>
      </c>
      <c r="AE34" s="1">
        <v>3.1405239999999998E-13</v>
      </c>
      <c r="AF34" s="1">
        <v>5223.4859999999999</v>
      </c>
      <c r="AG34" s="1">
        <v>1.167341E-2</v>
      </c>
      <c r="AH34" s="1">
        <v>689.24699999999996</v>
      </c>
      <c r="AI34" s="1">
        <v>1.2320619999999999E-3</v>
      </c>
      <c r="AJ34" s="1">
        <v>2.5745850000000002E-4</v>
      </c>
      <c r="AK34" s="1">
        <v>4.1490299999999997E-3</v>
      </c>
      <c r="AL34" s="1">
        <v>0.14059679999999999</v>
      </c>
      <c r="AM34" s="1">
        <v>3.1736780000000001E-3</v>
      </c>
      <c r="AN34" s="1">
        <v>3.8446030000000002E-7</v>
      </c>
      <c r="AO34" s="1">
        <v>6.2504709999999996E-11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4349405000000</v>
      </c>
      <c r="BF34" s="1">
        <v>2.575678E+17</v>
      </c>
      <c r="BG34" s="1">
        <v>2.822921</v>
      </c>
      <c r="BH34" s="1">
        <v>0</v>
      </c>
      <c r="BI34" s="1">
        <v>7.0993720000000002E-6</v>
      </c>
      <c r="BJ34" s="1">
        <v>0</v>
      </c>
      <c r="BK34" s="1">
        <v>1.4190350000000001E-4</v>
      </c>
      <c r="BL34" s="1">
        <v>6.8402130000000003</v>
      </c>
      <c r="BM34" s="1">
        <v>1873021</v>
      </c>
      <c r="BN34" s="1">
        <v>588880.5</v>
      </c>
      <c r="BO34" s="1">
        <v>5.0873689999999999E-2</v>
      </c>
      <c r="BP34" s="1">
        <v>58.582090000000001</v>
      </c>
      <c r="BQ34" s="1">
        <v>1.255071E-2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2.801427E-14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6.6782999999999995E-2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N34" s="1">
        <f t="shared" si="0"/>
        <v>2.6087928069998778E+17</v>
      </c>
      <c r="DP34" s="1">
        <f t="shared" si="1"/>
        <v>4.2999735241145676E-6</v>
      </c>
      <c r="DQ34" s="1">
        <f t="shared" si="2"/>
        <v>0.98730646339141059</v>
      </c>
      <c r="DR34" s="1">
        <f t="shared" si="3"/>
        <v>7.0693233860947483E-8</v>
      </c>
      <c r="DS34" s="1">
        <f t="shared" si="4"/>
        <v>2.8862771239618621E-3</v>
      </c>
      <c r="DT34" s="1">
        <f t="shared" si="5"/>
        <v>1.667209825299171E-5</v>
      </c>
    </row>
    <row r="35" spans="1:124" x14ac:dyDescent="0.2">
      <c r="A35">
        <v>9349.1217369999995</v>
      </c>
      <c r="B35">
        <v>9205.2890939999997</v>
      </c>
      <c r="C35">
        <v>9492.9543790000007</v>
      </c>
      <c r="D35">
        <v>1261.9015469999999</v>
      </c>
      <c r="E35" s="1">
        <v>4050.69</v>
      </c>
      <c r="F35" s="1">
        <v>214.815</v>
      </c>
      <c r="G35" s="1">
        <v>1.4229379999999999E-19</v>
      </c>
      <c r="H35" s="1">
        <v>630598700000</v>
      </c>
      <c r="I35" s="1">
        <v>70509640</v>
      </c>
      <c r="J35" s="1">
        <v>6.7301959999999995E-4</v>
      </c>
      <c r="K35" s="1">
        <v>3.3467709999999998E-2</v>
      </c>
      <c r="L35" s="1">
        <v>1947328000000000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3.847595E-7</v>
      </c>
      <c r="Y35" s="1">
        <v>574174600000000</v>
      </c>
      <c r="Z35" s="1">
        <v>13737010000</v>
      </c>
      <c r="AA35" s="1">
        <v>19542380</v>
      </c>
      <c r="AB35" s="1">
        <v>0.74053579999999997</v>
      </c>
      <c r="AC35" s="1">
        <v>3166.4659999999999</v>
      </c>
      <c r="AD35" s="1">
        <v>2.3868650000000001E-18</v>
      </c>
      <c r="AE35" s="1">
        <v>6.9680460000000005E-14</v>
      </c>
      <c r="AF35" s="1">
        <v>3000.1759999999999</v>
      </c>
      <c r="AG35" s="1">
        <v>5.1179199999999998E-3</v>
      </c>
      <c r="AH35" s="1">
        <v>430.58429999999998</v>
      </c>
      <c r="AI35" s="1">
        <v>5.8465540000000003E-4</v>
      </c>
      <c r="AJ35" s="1">
        <v>1.6076090000000001E-4</v>
      </c>
      <c r="AK35" s="1">
        <v>1.6555529999999999E-3</v>
      </c>
      <c r="AL35" s="1">
        <v>8.3605319999999997E-2</v>
      </c>
      <c r="AM35" s="1">
        <v>1.416381E-3</v>
      </c>
      <c r="AN35" s="1">
        <v>1.6231119999999999E-7</v>
      </c>
      <c r="AO35" s="1">
        <v>2.0980480000000001E-11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3540715000000</v>
      </c>
      <c r="BF35" s="1">
        <v>1.964839E+17</v>
      </c>
      <c r="BG35" s="1">
        <v>1.054033</v>
      </c>
      <c r="BH35" s="1">
        <v>0</v>
      </c>
      <c r="BI35" s="1">
        <v>1.792891E-6</v>
      </c>
      <c r="BJ35" s="1">
        <v>0</v>
      </c>
      <c r="BK35" s="1">
        <v>4.1108079999999999E-5</v>
      </c>
      <c r="BL35" s="1">
        <v>2.6298780000000002</v>
      </c>
      <c r="BM35" s="1">
        <v>1019845</v>
      </c>
      <c r="BN35" s="1">
        <v>285935.90000000002</v>
      </c>
      <c r="BO35" s="1">
        <v>1.9902110000000001E-2</v>
      </c>
      <c r="BP35" s="1">
        <v>26.97308</v>
      </c>
      <c r="BQ35" s="1">
        <v>5.0319800000000001E-3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6.6052319999999999E-15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2.362653E-2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N35" s="1">
        <f t="shared" si="0"/>
        <v>1.9900958774207462E+17</v>
      </c>
      <c r="DP35" s="1">
        <f t="shared" si="1"/>
        <v>3.1686850224386389E-6</v>
      </c>
      <c r="DQ35" s="1">
        <f t="shared" si="2"/>
        <v>0.98730871325984537</v>
      </c>
      <c r="DR35" s="1">
        <f t="shared" si="3"/>
        <v>6.9026875317202215E-8</v>
      </c>
      <c r="DS35" s="1">
        <f t="shared" si="4"/>
        <v>2.8851604915847377E-3</v>
      </c>
      <c r="DT35" s="1">
        <f t="shared" si="5"/>
        <v>1.7791680492243046E-5</v>
      </c>
    </row>
    <row r="36" spans="1:124" x14ac:dyDescent="0.2">
      <c r="A36">
        <v>9636.7870210000001</v>
      </c>
      <c r="B36">
        <v>9492.9543790000007</v>
      </c>
      <c r="C36">
        <v>9780.6196629999995</v>
      </c>
      <c r="D36">
        <v>1231.622398</v>
      </c>
      <c r="E36" s="1">
        <v>3004.3009999999999</v>
      </c>
      <c r="F36" s="1">
        <v>68.219329999999999</v>
      </c>
      <c r="G36" s="1">
        <v>1.827216E-20</v>
      </c>
      <c r="H36" s="1">
        <v>330551000000</v>
      </c>
      <c r="I36" s="1">
        <v>31851820</v>
      </c>
      <c r="J36" s="1">
        <v>1.8617469999999999E-4</v>
      </c>
      <c r="K36" s="1">
        <v>1.1069310000000001E-2</v>
      </c>
      <c r="L36" s="1">
        <v>1479585000000000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7.9603629999999997E-8</v>
      </c>
      <c r="Y36" s="1">
        <v>436111100000000</v>
      </c>
      <c r="Z36" s="1">
        <v>10348690000</v>
      </c>
      <c r="AA36" s="1">
        <v>11305150</v>
      </c>
      <c r="AB36" s="1">
        <v>0.43621359999999998</v>
      </c>
      <c r="AC36" s="1">
        <v>1808.549</v>
      </c>
      <c r="AD36" s="1">
        <v>6.0155849999999998E-19</v>
      </c>
      <c r="AE36" s="1">
        <v>1.174341E-14</v>
      </c>
      <c r="AF36" s="1">
        <v>1576.422</v>
      </c>
      <c r="AG36" s="1">
        <v>2.009434E-3</v>
      </c>
      <c r="AH36" s="1">
        <v>259.34870000000001</v>
      </c>
      <c r="AI36" s="1">
        <v>2.6174029999999999E-4</v>
      </c>
      <c r="AJ36" s="1">
        <v>1.010218E-4</v>
      </c>
      <c r="AK36" s="1">
        <v>5.9463020000000003E-4</v>
      </c>
      <c r="AL36" s="1">
        <v>4.8475079999999997E-2</v>
      </c>
      <c r="AM36" s="1">
        <v>6.0250859999999996E-4</v>
      </c>
      <c r="AN36" s="1">
        <v>6.6167690000000001E-8</v>
      </c>
      <c r="AO36" s="1">
        <v>6.6579640000000003E-12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2900852000000</v>
      </c>
      <c r="BF36" s="1">
        <v>1.493104E+17</v>
      </c>
      <c r="BG36" s="1">
        <v>0.3380283</v>
      </c>
      <c r="BH36" s="1">
        <v>0</v>
      </c>
      <c r="BI36" s="1">
        <v>3.6545669999999999E-7</v>
      </c>
      <c r="BJ36" s="1">
        <v>0</v>
      </c>
      <c r="BK36" s="1">
        <v>9.8407539999999999E-6</v>
      </c>
      <c r="BL36" s="1">
        <v>0.88890389999999997</v>
      </c>
      <c r="BM36" s="1">
        <v>525050.80000000005</v>
      </c>
      <c r="BN36" s="1">
        <v>131595.29999999999</v>
      </c>
      <c r="BO36" s="1">
        <v>7.2790880000000004E-3</v>
      </c>
      <c r="BP36" s="1">
        <v>11.657030000000001</v>
      </c>
      <c r="BQ36" s="1">
        <v>1.712957E-3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1.368187E-15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7.2522350000000001E-3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N36" s="1">
        <f t="shared" si="0"/>
        <v>1.5122933789550733E+17</v>
      </c>
      <c r="DP36" s="1">
        <f t="shared" si="1"/>
        <v>2.1857597513810176E-6</v>
      </c>
      <c r="DQ36" s="1">
        <f t="shared" si="2"/>
        <v>0.98731107388148964</v>
      </c>
      <c r="DR36" s="1">
        <f t="shared" si="3"/>
        <v>6.8430439119891401E-8</v>
      </c>
      <c r="DS36" s="1">
        <f t="shared" si="4"/>
        <v>2.8837731227874127E-3</v>
      </c>
      <c r="DT36" s="1">
        <f t="shared" si="5"/>
        <v>1.9181807183500058E-5</v>
      </c>
    </row>
    <row r="37" spans="1:124" x14ac:dyDescent="0.2">
      <c r="A37">
        <v>9924.4523050000007</v>
      </c>
      <c r="B37">
        <v>9780.6196629999995</v>
      </c>
      <c r="C37">
        <v>10068.284947</v>
      </c>
      <c r="D37">
        <v>1198.5010010000001</v>
      </c>
      <c r="E37" s="1">
        <v>2210.1840000000002</v>
      </c>
      <c r="F37" s="1">
        <v>18.497509999999998</v>
      </c>
      <c r="G37" s="1">
        <v>1.7753250000000002E-21</v>
      </c>
      <c r="H37" s="1">
        <v>161133000000</v>
      </c>
      <c r="I37" s="1">
        <v>13081660</v>
      </c>
      <c r="J37" s="1">
        <v>4.3669879999999999E-5</v>
      </c>
      <c r="K37" s="1">
        <v>3.2586400000000001E-3</v>
      </c>
      <c r="L37" s="1">
        <v>1118374000000000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1.29015E-8</v>
      </c>
      <c r="Y37" s="1">
        <v>329503200000000</v>
      </c>
      <c r="Z37" s="1">
        <v>7798149000</v>
      </c>
      <c r="AA37" s="1">
        <v>6449842</v>
      </c>
      <c r="AB37" s="1">
        <v>0.25441999999999998</v>
      </c>
      <c r="AC37" s="1">
        <v>991.11670000000004</v>
      </c>
      <c r="AD37" s="1">
        <v>1.363441E-19</v>
      </c>
      <c r="AE37" s="1">
        <v>1.441867E-15</v>
      </c>
      <c r="AF37" s="1">
        <v>733.32140000000004</v>
      </c>
      <c r="AG37" s="1">
        <v>6.8563010000000004E-4</v>
      </c>
      <c r="AH37" s="1">
        <v>146.50319999999999</v>
      </c>
      <c r="AI37" s="1">
        <v>1.078268E-4</v>
      </c>
      <c r="AJ37" s="1">
        <v>6.3126780000000005E-5</v>
      </c>
      <c r="AK37" s="1">
        <v>1.888038E-4</v>
      </c>
      <c r="AL37" s="1">
        <v>2.7019729999999999E-2</v>
      </c>
      <c r="AM37" s="1">
        <v>2.4127590000000001E-4</v>
      </c>
      <c r="AN37" s="1">
        <v>2.5896309999999999E-8</v>
      </c>
      <c r="AO37" s="1">
        <v>1.9645019999999999E-12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2391679000000</v>
      </c>
      <c r="BF37" s="1">
        <v>1.128795E+17</v>
      </c>
      <c r="BG37" s="1">
        <v>9.2697920000000003E-2</v>
      </c>
      <c r="BH37" s="1">
        <v>0</v>
      </c>
      <c r="BI37" s="1">
        <v>5.9359210000000003E-8</v>
      </c>
      <c r="BJ37" s="1">
        <v>0</v>
      </c>
      <c r="BK37" s="1">
        <v>1.9151009999999999E-6</v>
      </c>
      <c r="BL37" s="1">
        <v>0.26023020000000002</v>
      </c>
      <c r="BM37" s="1">
        <v>252369.4</v>
      </c>
      <c r="BN37" s="1">
        <v>57308.05</v>
      </c>
      <c r="BO37" s="1">
        <v>2.4677700000000002E-3</v>
      </c>
      <c r="BP37" s="1">
        <v>4.7061419999999998</v>
      </c>
      <c r="BQ37" s="1">
        <v>4.7796489999999997E-4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2.4576349999999999E-16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1.900065E-3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N37" s="1">
        <f t="shared" si="0"/>
        <v>1.1432993782999206E+17</v>
      </c>
      <c r="DP37" s="1">
        <f t="shared" si="1"/>
        <v>1.4093683864291417E-6</v>
      </c>
      <c r="DQ37" s="1">
        <f t="shared" si="2"/>
        <v>0.98731357807480957</v>
      </c>
      <c r="DR37" s="1">
        <f t="shared" si="3"/>
        <v>6.8207410482421502E-8</v>
      </c>
      <c r="DS37" s="1">
        <f t="shared" si="4"/>
        <v>2.8820377781536913E-3</v>
      </c>
      <c r="DT37" s="1">
        <f t="shared" si="5"/>
        <v>2.0919096479842511E-5</v>
      </c>
    </row>
    <row r="38" spans="1:124" x14ac:dyDescent="0.2">
      <c r="A38">
        <v>10212.117588999999</v>
      </c>
      <c r="B38">
        <v>10068.284947</v>
      </c>
      <c r="C38">
        <v>10355.950231000001</v>
      </c>
      <c r="D38">
        <v>1163.5045190000001</v>
      </c>
      <c r="E38" s="1">
        <v>1611.6289999999999</v>
      </c>
      <c r="F38" s="1">
        <v>4.5986969999999996</v>
      </c>
      <c r="G38" s="1">
        <v>1.500166E-22</v>
      </c>
      <c r="H38" s="1">
        <v>75249100000</v>
      </c>
      <c r="I38" s="1">
        <v>5040921</v>
      </c>
      <c r="J38" s="1">
        <v>9.2132619999999997E-6</v>
      </c>
      <c r="K38" s="1">
        <v>9.0333280000000002E-4</v>
      </c>
      <c r="L38" s="1">
        <v>839839900000000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1.8087569999999999E-9</v>
      </c>
      <c r="Y38" s="1">
        <v>247307000000000</v>
      </c>
      <c r="Z38" s="1">
        <v>5845328000</v>
      </c>
      <c r="AA38" s="1">
        <v>3594403</v>
      </c>
      <c r="AB38" s="1">
        <v>0.14611260000000001</v>
      </c>
      <c r="AC38" s="1">
        <v>521.13319999999999</v>
      </c>
      <c r="AD38" s="1">
        <v>2.9210739999999999E-20</v>
      </c>
      <c r="AE38" s="1">
        <v>1.386538E-16</v>
      </c>
      <c r="AF38" s="1">
        <v>304.51240000000001</v>
      </c>
      <c r="AG38" s="1">
        <v>2.0949160000000001E-4</v>
      </c>
      <c r="AH38" s="1">
        <v>77.635739999999998</v>
      </c>
      <c r="AI38" s="1">
        <v>4.1834829999999997E-5</v>
      </c>
      <c r="AJ38" s="1">
        <v>4.0717229999999999E-5</v>
      </c>
      <c r="AK38" s="1">
        <v>5.4696169999999998E-5</v>
      </c>
      <c r="AL38" s="1">
        <v>1.450038E-2</v>
      </c>
      <c r="AM38" s="1">
        <v>9.3112509999999994E-5</v>
      </c>
      <c r="AN38" s="1">
        <v>1.01687E-8</v>
      </c>
      <c r="AO38" s="1">
        <v>5.4833339999999999E-13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1984456000000</v>
      </c>
      <c r="BF38" s="1">
        <v>8.478578E+16</v>
      </c>
      <c r="BG38" s="1">
        <v>2.3353329999999999E-2</v>
      </c>
      <c r="BH38" s="1">
        <v>0</v>
      </c>
      <c r="BI38" s="1">
        <v>8.2304809999999994E-9</v>
      </c>
      <c r="BJ38" s="1">
        <v>0</v>
      </c>
      <c r="BK38" s="1">
        <v>3.290033E-7</v>
      </c>
      <c r="BL38" s="1">
        <v>6.9694629999999994E-2</v>
      </c>
      <c r="BM38" s="1">
        <v>116022</v>
      </c>
      <c r="BN38" s="1">
        <v>24215.77</v>
      </c>
      <c r="BO38" s="1">
        <v>7.9458130000000004E-4</v>
      </c>
      <c r="BP38" s="1">
        <v>1.8256380000000001</v>
      </c>
      <c r="BQ38" s="1">
        <v>1.135578E-4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3.9375619999999998E-17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4.4923590000000001E-4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N38" s="1">
        <f t="shared" si="0"/>
        <v>8.5874992459204448E+16</v>
      </c>
      <c r="DP38" s="1">
        <f t="shared" si="1"/>
        <v>8.7626325016270187E-7</v>
      </c>
      <c r="DQ38" s="1">
        <f t="shared" si="2"/>
        <v>0.98731630212693311</v>
      </c>
      <c r="DR38" s="1">
        <f t="shared" si="3"/>
        <v>6.8067872061553497E-8</v>
      </c>
      <c r="DS38" s="1">
        <f t="shared" si="4"/>
        <v>2.8798488700594069E-3</v>
      </c>
      <c r="DT38" s="1">
        <f t="shared" si="5"/>
        <v>2.3108659962243728E-5</v>
      </c>
    </row>
    <row r="39" spans="1:124" x14ac:dyDescent="0.2">
      <c r="A39">
        <v>10499.782873</v>
      </c>
      <c r="B39">
        <v>10355.950231000001</v>
      </c>
      <c r="C39">
        <v>10643.615515</v>
      </c>
      <c r="D39">
        <v>1128.5085300000001</v>
      </c>
      <c r="E39" s="1">
        <v>1164.18</v>
      </c>
      <c r="F39" s="1">
        <v>1.314206</v>
      </c>
      <c r="G39" s="1">
        <v>1.708005E-23</v>
      </c>
      <c r="H39" s="1">
        <v>36729270000</v>
      </c>
      <c r="I39" s="1">
        <v>2006153</v>
      </c>
      <c r="J39" s="1">
        <v>2.1094040000000002E-6</v>
      </c>
      <c r="K39" s="1">
        <v>2.778573E-4</v>
      </c>
      <c r="L39" s="1">
        <v>625317400000000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3.0203980000000001E-10</v>
      </c>
      <c r="Y39" s="1">
        <v>184020800000000</v>
      </c>
      <c r="Z39" s="1">
        <v>4343766000</v>
      </c>
      <c r="AA39" s="1">
        <v>1924680</v>
      </c>
      <c r="AB39" s="1">
        <v>8.0155550000000006E-2</v>
      </c>
      <c r="AC39" s="1">
        <v>265.70839999999998</v>
      </c>
      <c r="AD39" s="1">
        <v>6.8273320000000006E-21</v>
      </c>
      <c r="AE39" s="1">
        <v>1.346034E-17</v>
      </c>
      <c r="AF39" s="1">
        <v>118.542</v>
      </c>
      <c r="AG39" s="1">
        <v>6.4460810000000005E-5</v>
      </c>
      <c r="AH39" s="1">
        <v>39.500219999999999</v>
      </c>
      <c r="AI39" s="1">
        <v>1.676413E-5</v>
      </c>
      <c r="AJ39" s="1">
        <v>3.0705299999999999E-5</v>
      </c>
      <c r="AK39" s="1">
        <v>1.6076269999999998E-5</v>
      </c>
      <c r="AL39" s="1">
        <v>7.570139E-3</v>
      </c>
      <c r="AM39" s="1">
        <v>3.749133E-5</v>
      </c>
      <c r="AN39" s="1">
        <v>4.5739610000000001E-9</v>
      </c>
      <c r="AO39" s="1">
        <v>1.5455110000000001E-13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1642395000000</v>
      </c>
      <c r="BF39" s="1">
        <v>6.31455E+16</v>
      </c>
      <c r="BG39" s="1">
        <v>6.7687870000000001E-3</v>
      </c>
      <c r="BH39" s="1">
        <v>0</v>
      </c>
      <c r="BI39" s="1">
        <v>1.200949E-9</v>
      </c>
      <c r="BJ39" s="1">
        <v>0</v>
      </c>
      <c r="BK39" s="1">
        <v>6.5102929999999995E-8</v>
      </c>
      <c r="BL39" s="1">
        <v>2.0460909999999999E-2</v>
      </c>
      <c r="BM39" s="1">
        <v>55692.81</v>
      </c>
      <c r="BN39" s="1">
        <v>10736.63</v>
      </c>
      <c r="BO39" s="1">
        <v>2.619074E-4</v>
      </c>
      <c r="BP39" s="1">
        <v>0.75971630000000001</v>
      </c>
      <c r="BQ39" s="1">
        <v>2.653584E-5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6.106225E-18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1.155333E-4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N39" s="1">
        <f t="shared" si="0"/>
        <v>6.3956521672033688E+16</v>
      </c>
      <c r="DP39" s="1">
        <f t="shared" si="1"/>
        <v>5.7428498360724067E-7</v>
      </c>
      <c r="DQ39" s="1">
        <f t="shared" si="2"/>
        <v>0.98731917166801886</v>
      </c>
      <c r="DR39" s="1">
        <f t="shared" si="3"/>
        <v>6.791748341591568E-8</v>
      </c>
      <c r="DS39" s="1">
        <f t="shared" si="4"/>
        <v>2.8772796767099185E-3</v>
      </c>
      <c r="DT39" s="1">
        <f t="shared" si="5"/>
        <v>2.5679867464058341E-5</v>
      </c>
    </row>
    <row r="40" spans="1:124" x14ac:dyDescent="0.2">
      <c r="A40">
        <v>10787.448157999999</v>
      </c>
      <c r="B40">
        <v>10643.615515</v>
      </c>
      <c r="C40">
        <v>10931.2808</v>
      </c>
      <c r="D40">
        <v>1094.6801499999999</v>
      </c>
      <c r="E40" s="1">
        <v>832.34519999999998</v>
      </c>
      <c r="F40" s="1">
        <v>0.59670809999999996</v>
      </c>
      <c r="G40" s="1">
        <v>4.9530010000000004E-24</v>
      </c>
      <c r="H40" s="1">
        <v>21090330000</v>
      </c>
      <c r="I40" s="1">
        <v>933881.1</v>
      </c>
      <c r="J40" s="1">
        <v>6.9201340000000001E-7</v>
      </c>
      <c r="K40" s="1">
        <v>1.1915849999999999E-4</v>
      </c>
      <c r="L40" s="1">
        <v>460755800000000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9.5540720000000002E-11</v>
      </c>
      <c r="Y40" s="1">
        <v>135495000000000</v>
      </c>
      <c r="Z40" s="1">
        <v>3192421000</v>
      </c>
      <c r="AA40" s="1">
        <v>984030</v>
      </c>
      <c r="AB40" s="1">
        <v>3.9725910000000003E-2</v>
      </c>
      <c r="AC40" s="1">
        <v>132.62520000000001</v>
      </c>
      <c r="AD40" s="1">
        <v>2.1697E-21</v>
      </c>
      <c r="AE40" s="1">
        <v>1.780192E-18</v>
      </c>
      <c r="AF40" s="1">
        <v>45.162050000000001</v>
      </c>
      <c r="AG40" s="1">
        <v>2.3029619999999999E-5</v>
      </c>
      <c r="AH40" s="1">
        <v>19.689029999999999</v>
      </c>
      <c r="AI40" s="1">
        <v>7.8492730000000007E-6</v>
      </c>
      <c r="AJ40" s="1">
        <v>3.3037899999999998E-5</v>
      </c>
      <c r="AK40" s="1">
        <v>5.479069E-6</v>
      </c>
      <c r="AL40" s="1">
        <v>3.8816850000000002E-3</v>
      </c>
      <c r="AM40" s="1">
        <v>1.76289E-5</v>
      </c>
      <c r="AN40" s="1">
        <v>2.8939419999999998E-9</v>
      </c>
      <c r="AO40" s="1">
        <v>4.9080489999999998E-14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1349378000000</v>
      </c>
      <c r="BF40" s="1">
        <v>4.654197E+16</v>
      </c>
      <c r="BG40" s="1">
        <v>3.1189199999999999E-3</v>
      </c>
      <c r="BH40" s="1">
        <v>0</v>
      </c>
      <c r="BI40" s="1">
        <v>2.397963E-10</v>
      </c>
      <c r="BJ40" s="1">
        <v>0</v>
      </c>
      <c r="BK40" s="1">
        <v>2.128103E-8</v>
      </c>
      <c r="BL40" s="1">
        <v>8.3712790000000006E-3</v>
      </c>
      <c r="BM40" s="1">
        <v>31408.87</v>
      </c>
      <c r="BN40" s="1">
        <v>5575.4880000000003</v>
      </c>
      <c r="BO40" s="1">
        <v>9.8974289999999998E-5</v>
      </c>
      <c r="BP40" s="1">
        <v>0.39446059999999999</v>
      </c>
      <c r="BQ40" s="1">
        <v>7.1981639999999998E-6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9.9193639999999996E-19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4.1255170000000002E-5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N40" s="1">
        <f t="shared" si="0"/>
        <v>4.7139594462706096E+16</v>
      </c>
      <c r="DP40" s="1">
        <f t="shared" si="1"/>
        <v>4.4740160029771475E-7</v>
      </c>
      <c r="DQ40" s="1">
        <f t="shared" si="2"/>
        <v>0.98732224005068814</v>
      </c>
      <c r="DR40" s="1">
        <f t="shared" si="3"/>
        <v>6.7722708190153063E-8</v>
      </c>
      <c r="DS40" s="1">
        <f t="shared" si="4"/>
        <v>2.8743352916876532E-3</v>
      </c>
      <c r="DT40" s="1">
        <f t="shared" si="5"/>
        <v>2.8625150796906911E-5</v>
      </c>
    </row>
    <row r="41" spans="1:124" x14ac:dyDescent="0.2">
      <c r="A41">
        <v>11075.113442</v>
      </c>
      <c r="B41">
        <v>10931.2808</v>
      </c>
      <c r="C41">
        <v>11218.946083999999</v>
      </c>
      <c r="D41">
        <v>1062.400371</v>
      </c>
      <c r="E41" s="1">
        <v>589.08500000000004</v>
      </c>
      <c r="F41" s="1">
        <v>0.47748970000000002</v>
      </c>
      <c r="G41" s="1">
        <v>4.4838470000000002E-24</v>
      </c>
      <c r="H41" s="1">
        <v>15395900000</v>
      </c>
      <c r="I41" s="1">
        <v>550787.1</v>
      </c>
      <c r="J41" s="1">
        <v>4.02471E-7</v>
      </c>
      <c r="K41" s="1">
        <v>8.2832660000000001E-5</v>
      </c>
      <c r="L41" s="1">
        <v>335887300000000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8.2789080000000005E-11</v>
      </c>
      <c r="Y41" s="1">
        <v>98692430000000</v>
      </c>
      <c r="Z41" s="1">
        <v>2318999000</v>
      </c>
      <c r="AA41" s="1">
        <v>492693.6</v>
      </c>
      <c r="AB41" s="1">
        <v>1.6163159999999999E-2</v>
      </c>
      <c r="AC41" s="1">
        <v>65.186300000000003</v>
      </c>
      <c r="AD41" s="1">
        <v>1.1156549999999999E-21</v>
      </c>
      <c r="AE41" s="1">
        <v>3.8816209999999998E-19</v>
      </c>
      <c r="AF41" s="1">
        <v>17.37548</v>
      </c>
      <c r="AG41" s="1">
        <v>1.042436E-5</v>
      </c>
      <c r="AH41" s="1">
        <v>9.7131659999999993</v>
      </c>
      <c r="AI41" s="1">
        <v>4.6512940000000001E-6</v>
      </c>
      <c r="AJ41" s="1">
        <v>5.8157849999999997E-5</v>
      </c>
      <c r="AK41" s="1">
        <v>2.3567479999999999E-6</v>
      </c>
      <c r="AL41" s="1">
        <v>1.9682660000000002E-3</v>
      </c>
      <c r="AM41" s="1">
        <v>1.044043E-5</v>
      </c>
      <c r="AN41" s="1">
        <v>2.967726E-9</v>
      </c>
      <c r="AO41" s="1">
        <v>1.9458409999999999E-14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1100647000000</v>
      </c>
      <c r="BF41" s="1">
        <v>3.394061E+16</v>
      </c>
      <c r="BG41" s="1">
        <v>2.537376E-3</v>
      </c>
      <c r="BH41" s="1">
        <v>0</v>
      </c>
      <c r="BI41" s="1">
        <v>7.7299959999999997E-11</v>
      </c>
      <c r="BJ41" s="1">
        <v>0</v>
      </c>
      <c r="BK41" s="1">
        <v>1.4598289999999999E-8</v>
      </c>
      <c r="BL41" s="1">
        <v>5.5681089999999999E-3</v>
      </c>
      <c r="BM41" s="1">
        <v>22462.560000000001</v>
      </c>
      <c r="BN41" s="1">
        <v>3649.3029999999999</v>
      </c>
      <c r="BO41" s="1">
        <v>4.7247989999999998E-5</v>
      </c>
      <c r="BP41" s="1">
        <v>0.21266499999999999</v>
      </c>
      <c r="BQ41" s="1">
        <v>2.5255650000000001E-6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1.6665270000000001E-19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2.3897530000000002E-5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N41" s="1">
        <f t="shared" si="0"/>
        <v>3.4376308092968684E+16</v>
      </c>
      <c r="DP41" s="1">
        <f t="shared" si="1"/>
        <v>4.4786368444111868E-7</v>
      </c>
      <c r="DQ41" s="1">
        <f t="shared" si="2"/>
        <v>0.98732562869199436</v>
      </c>
      <c r="DR41" s="1">
        <f t="shared" si="3"/>
        <v>6.7459222023738118E-8</v>
      </c>
      <c r="DS41" s="1">
        <f t="shared" si="4"/>
        <v>2.8709432593253524E-3</v>
      </c>
      <c r="DT41" s="1">
        <f t="shared" si="5"/>
        <v>3.2017603432671292E-5</v>
      </c>
    </row>
    <row r="42" spans="1:124" x14ac:dyDescent="0.2">
      <c r="A42">
        <v>11362.778726</v>
      </c>
      <c r="B42">
        <v>11218.946083999999</v>
      </c>
      <c r="C42">
        <v>11506.611368</v>
      </c>
      <c r="D42">
        <v>1032.766165</v>
      </c>
      <c r="E42" s="1">
        <v>412.65679999999998</v>
      </c>
      <c r="F42" s="1">
        <v>0.63211759999999995</v>
      </c>
      <c r="G42" s="1">
        <v>1.099474E-23</v>
      </c>
      <c r="H42" s="1">
        <v>16258600000</v>
      </c>
      <c r="I42" s="1">
        <v>472616.8</v>
      </c>
      <c r="J42" s="1">
        <v>5.5276869999999999E-7</v>
      </c>
      <c r="K42" s="1">
        <v>1.193271E-4</v>
      </c>
      <c r="L42" s="1">
        <v>241950700000000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3.4299890000000002E-10</v>
      </c>
      <c r="Y42" s="1">
        <v>71026930000000</v>
      </c>
      <c r="Z42" s="1">
        <v>1662103000</v>
      </c>
      <c r="AA42" s="1">
        <v>256570.2</v>
      </c>
      <c r="AB42" s="1">
        <v>4.9476670000000002E-3</v>
      </c>
      <c r="AC42" s="1">
        <v>31.94717</v>
      </c>
      <c r="AD42" s="1">
        <v>1.2306410000000001E-21</v>
      </c>
      <c r="AE42" s="1">
        <v>2.091666E-19</v>
      </c>
      <c r="AF42" s="1">
        <v>7.5996600000000001</v>
      </c>
      <c r="AG42" s="1">
        <v>7.0215810000000004E-6</v>
      </c>
      <c r="AH42" s="1">
        <v>4.8674229999999996</v>
      </c>
      <c r="AI42" s="1">
        <v>3.9995999999999998E-6</v>
      </c>
      <c r="AJ42" s="1">
        <v>2.052112E-4</v>
      </c>
      <c r="AK42" s="1">
        <v>1.484939E-6</v>
      </c>
      <c r="AL42" s="1">
        <v>1.0051649999999999E-3</v>
      </c>
      <c r="AM42" s="1">
        <v>8.8055420000000005E-6</v>
      </c>
      <c r="AN42" s="1">
        <v>6.1308830000000004E-9</v>
      </c>
      <c r="AO42" s="1">
        <v>1.1572090000000001E-14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884463600000</v>
      </c>
      <c r="BF42" s="1">
        <v>2.445785E+16</v>
      </c>
      <c r="BG42" s="1">
        <v>3.4254849999999998E-3</v>
      </c>
      <c r="BH42" s="1">
        <v>0</v>
      </c>
      <c r="BI42" s="1">
        <v>5.3945350000000003E-11</v>
      </c>
      <c r="BJ42" s="1">
        <v>0</v>
      </c>
      <c r="BK42" s="1">
        <v>3.1247879999999998E-8</v>
      </c>
      <c r="BL42" s="1">
        <v>7.850905E-3</v>
      </c>
      <c r="BM42" s="1">
        <v>23215.05</v>
      </c>
      <c r="BN42" s="1">
        <v>3397.8589999999999</v>
      </c>
      <c r="BO42" s="1">
        <v>3.3855130000000003E-5</v>
      </c>
      <c r="BP42" s="1">
        <v>7.3666839999999997E-2</v>
      </c>
      <c r="BQ42" s="1">
        <v>1.476799E-6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3.097028E-20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2.9453830000000001E-5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N42" s="1">
        <f t="shared" si="0"/>
        <v>2.4771730015058844E+16</v>
      </c>
      <c r="DP42" s="1">
        <f t="shared" si="1"/>
        <v>6.5633688039213753E-7</v>
      </c>
      <c r="DQ42" s="1">
        <f t="shared" si="2"/>
        <v>0.98732910398797202</v>
      </c>
      <c r="DR42" s="1">
        <f t="shared" si="3"/>
        <v>6.7096767120810705E-8</v>
      </c>
      <c r="DS42" s="1">
        <f t="shared" si="4"/>
        <v>2.8672575535427852E-3</v>
      </c>
      <c r="DT42" s="1">
        <f t="shared" si="5"/>
        <v>3.5704555130478602E-5</v>
      </c>
    </row>
    <row r="43" spans="1:124" x14ac:dyDescent="0.2">
      <c r="A43">
        <v>11650.444009999999</v>
      </c>
      <c r="B43">
        <v>11506.611368</v>
      </c>
      <c r="C43">
        <v>11794.276652</v>
      </c>
      <c r="D43">
        <v>1006.304603</v>
      </c>
      <c r="E43" s="1">
        <v>286.22559999999999</v>
      </c>
      <c r="F43" s="1">
        <v>1.9317550000000001</v>
      </c>
      <c r="G43" s="1">
        <v>1.3931259999999999E-22</v>
      </c>
      <c r="H43" s="1">
        <v>31448320000</v>
      </c>
      <c r="I43" s="1">
        <v>751652.3</v>
      </c>
      <c r="J43" s="1">
        <v>2.7272829999999999E-6</v>
      </c>
      <c r="K43" s="1">
        <v>5.579157E-4</v>
      </c>
      <c r="L43" s="1">
        <v>172165000000000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1.699013E-8</v>
      </c>
      <c r="Y43" s="1">
        <v>50491920000000</v>
      </c>
      <c r="Z43" s="1">
        <v>1174238000</v>
      </c>
      <c r="AA43" s="1">
        <v>144791.79999999999</v>
      </c>
      <c r="AB43" s="1">
        <v>1.1920259999999999E-3</v>
      </c>
      <c r="AC43" s="1">
        <v>15.77821</v>
      </c>
      <c r="AD43" s="1">
        <v>4.7172110000000002E-21</v>
      </c>
      <c r="AE43" s="1">
        <v>9.0953810000000002E-19</v>
      </c>
      <c r="AF43" s="1">
        <v>7.579135</v>
      </c>
      <c r="AG43" s="1">
        <v>9.2324220000000001E-6</v>
      </c>
      <c r="AH43" s="1">
        <v>2.5720010000000002</v>
      </c>
      <c r="AI43" s="1">
        <v>6.4647470000000004E-6</v>
      </c>
      <c r="AJ43" s="1">
        <v>2.1230730000000001E-3</v>
      </c>
      <c r="AK43" s="1">
        <v>1.7604910000000001E-6</v>
      </c>
      <c r="AL43" s="1">
        <v>5.4997230000000002E-4</v>
      </c>
      <c r="AM43" s="1">
        <v>1.3332709999999999E-5</v>
      </c>
      <c r="AN43" s="1">
        <v>3.9715649999999997E-8</v>
      </c>
      <c r="AO43" s="1">
        <v>1.357593E-14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698632600000</v>
      </c>
      <c r="BF43" s="1">
        <v>1.741051E+16</v>
      </c>
      <c r="BG43" s="1">
        <v>1.075859E-2</v>
      </c>
      <c r="BH43" s="1">
        <v>0</v>
      </c>
      <c r="BI43" s="1">
        <v>1.3381199999999999E-10</v>
      </c>
      <c r="BJ43" s="1">
        <v>0</v>
      </c>
      <c r="BK43" s="1">
        <v>4.225585E-7</v>
      </c>
      <c r="BL43" s="1">
        <v>3.7699259999999998E-2</v>
      </c>
      <c r="BM43" s="1">
        <v>43889.7</v>
      </c>
      <c r="BN43" s="1">
        <v>5661.81</v>
      </c>
      <c r="BO43" s="1">
        <v>4.8417239999999997E-5</v>
      </c>
      <c r="BP43" s="1">
        <v>1.1635299999999999E-2</v>
      </c>
      <c r="BQ43" s="1">
        <v>3.6597540000000001E-6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8.5713350000000001E-21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1.245897E-4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N43" s="1">
        <f t="shared" si="0"/>
        <v>1.7633898176104024E+16</v>
      </c>
      <c r="DP43" s="1">
        <f t="shared" si="1"/>
        <v>1.783401474020992E-6</v>
      </c>
      <c r="DQ43" s="1">
        <f t="shared" si="2"/>
        <v>0.98733188919017689</v>
      </c>
      <c r="DR43" s="1">
        <f t="shared" si="3"/>
        <v>6.658981402031847E-8</v>
      </c>
      <c r="DS43" s="1">
        <f t="shared" si="4"/>
        <v>2.8633441962607228E-3</v>
      </c>
      <c r="DT43" s="1">
        <f t="shared" si="5"/>
        <v>3.9618727125618098E-5</v>
      </c>
    </row>
    <row r="44" spans="1:124" x14ac:dyDescent="0.2">
      <c r="A44">
        <v>11938.109294</v>
      </c>
      <c r="B44">
        <v>11794.276652</v>
      </c>
      <c r="C44">
        <v>12081.941935999999</v>
      </c>
      <c r="D44">
        <v>982.17872799999998</v>
      </c>
      <c r="E44" s="1">
        <v>196.7225</v>
      </c>
      <c r="F44" s="1">
        <v>27.790209999999998</v>
      </c>
      <c r="G44" s="1">
        <v>3.3376090000000002E-20</v>
      </c>
      <c r="H44" s="1">
        <v>119946700000</v>
      </c>
      <c r="I44" s="1">
        <v>2375855</v>
      </c>
      <c r="J44" s="1">
        <v>4.248262E-5</v>
      </c>
      <c r="K44" s="1">
        <v>8.4648290000000001E-3</v>
      </c>
      <c r="L44" s="1">
        <v>121182500000000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1.3083590000000001E-5</v>
      </c>
      <c r="Y44" s="1">
        <v>35502680000000</v>
      </c>
      <c r="Z44" s="1">
        <v>817893100</v>
      </c>
      <c r="AA44" s="1">
        <v>80159.28</v>
      </c>
      <c r="AB44" s="1">
        <v>2.5053990000000002E-4</v>
      </c>
      <c r="AC44" s="1">
        <v>7.82517</v>
      </c>
      <c r="AD44" s="1">
        <v>6.2318810000000002E-20</v>
      </c>
      <c r="AE44" s="1">
        <v>1.036173E-16</v>
      </c>
      <c r="AF44" s="1">
        <v>48.930610000000001</v>
      </c>
      <c r="AG44" s="1">
        <v>3.5943360000000003E-5</v>
      </c>
      <c r="AH44" s="1">
        <v>2.1031439999999999</v>
      </c>
      <c r="AI44" s="1">
        <v>3.1257880000000003E-5</v>
      </c>
      <c r="AJ44" s="1">
        <v>4.5702069999999997E-2</v>
      </c>
      <c r="AK44" s="1">
        <v>4.1894909999999998E-6</v>
      </c>
      <c r="AL44" s="1">
        <v>4.521983E-4</v>
      </c>
      <c r="AM44" s="1">
        <v>3.9110370000000002E-5</v>
      </c>
      <c r="AN44" s="1">
        <v>9.5113939999999997E-7</v>
      </c>
      <c r="AO44" s="1">
        <v>3.0917459999999999E-14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544750000000</v>
      </c>
      <c r="BF44" s="1">
        <v>1.226015E+16</v>
      </c>
      <c r="BG44" s="1">
        <v>0.1569769</v>
      </c>
      <c r="BH44" s="1">
        <v>0</v>
      </c>
      <c r="BI44" s="1">
        <v>1.345397E-9</v>
      </c>
      <c r="BJ44" s="1">
        <v>0</v>
      </c>
      <c r="BK44" s="1">
        <v>4.4599759999999997E-5</v>
      </c>
      <c r="BL44" s="1">
        <v>0.71045420000000004</v>
      </c>
      <c r="BM44" s="1">
        <v>163052.4</v>
      </c>
      <c r="BN44" s="1">
        <v>18242.88</v>
      </c>
      <c r="BO44" s="1">
        <v>1.510459E-4</v>
      </c>
      <c r="BP44" s="1">
        <v>7.8082819999999997E-4</v>
      </c>
      <c r="BQ44" s="1">
        <v>1.172101E-4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4.204694E-21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2.0786530000000002E-3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N44" s="1">
        <f t="shared" si="0"/>
        <v>1.2417500697230494E+16</v>
      </c>
      <c r="DP44" s="1">
        <f t="shared" si="1"/>
        <v>9.6594880825536828E-6</v>
      </c>
      <c r="DQ44" s="1">
        <f t="shared" si="2"/>
        <v>0.9873283117861561</v>
      </c>
      <c r="DR44" s="1">
        <f t="shared" si="3"/>
        <v>6.5866160988613168E-8</v>
      </c>
      <c r="DS44" s="1">
        <f t="shared" si="4"/>
        <v>2.8590841962197956E-3</v>
      </c>
      <c r="DT44" s="1">
        <f t="shared" si="5"/>
        <v>4.3869536493885358E-5</v>
      </c>
    </row>
    <row r="45" spans="1:124" x14ac:dyDescent="0.2">
      <c r="A45">
        <v>12225.774579000001</v>
      </c>
      <c r="B45">
        <v>12081.941935999999</v>
      </c>
      <c r="C45">
        <v>12369.607221</v>
      </c>
      <c r="D45">
        <v>960.567767</v>
      </c>
      <c r="E45" s="1">
        <v>133.99959999999999</v>
      </c>
      <c r="F45" s="1">
        <v>113.1837</v>
      </c>
      <c r="G45" s="1">
        <v>5.3154479999999995E-19</v>
      </c>
      <c r="H45" s="1">
        <v>219619600000</v>
      </c>
      <c r="I45" s="1">
        <v>3646761</v>
      </c>
      <c r="J45" s="1">
        <v>1.0404999999999999E-4</v>
      </c>
      <c r="K45" s="1">
        <v>2.1376619999999999E-2</v>
      </c>
      <c r="L45" s="1">
        <v>84363830000000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5.4506620000000004E-4</v>
      </c>
      <c r="Y45" s="1">
        <v>24689080000000</v>
      </c>
      <c r="Z45" s="1">
        <v>560737400</v>
      </c>
      <c r="AA45" s="1">
        <v>40013.11</v>
      </c>
      <c r="AB45" s="1">
        <v>4.997972E-5</v>
      </c>
      <c r="AC45" s="1">
        <v>3.9113859999999998</v>
      </c>
      <c r="AD45" s="1">
        <v>1.6984679999999999E-19</v>
      </c>
      <c r="AE45" s="1">
        <v>2.3351339999999998E-15</v>
      </c>
      <c r="AF45" s="1">
        <v>256.9015</v>
      </c>
      <c r="AG45" s="1">
        <v>9.7795090000000001E-5</v>
      </c>
      <c r="AH45" s="1">
        <v>2.6224479999999999</v>
      </c>
      <c r="AI45" s="1">
        <v>1.076934E-4</v>
      </c>
      <c r="AJ45" s="1">
        <v>0.1230632</v>
      </c>
      <c r="AK45" s="1">
        <v>4.9089900000000001E-6</v>
      </c>
      <c r="AL45" s="1">
        <v>4.5474190000000002E-4</v>
      </c>
      <c r="AM45" s="1">
        <v>5.3906909999999998E-5</v>
      </c>
      <c r="AN45" s="1">
        <v>4.9040559999999998E-6</v>
      </c>
      <c r="AO45" s="1">
        <v>3.2228149999999997E-14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417434400000</v>
      </c>
      <c r="BF45" s="1">
        <v>8538975000000000</v>
      </c>
      <c r="BG45" s="1">
        <v>0.6440439</v>
      </c>
      <c r="BH45" s="1">
        <v>0</v>
      </c>
      <c r="BI45" s="1">
        <v>3.2944769999999999E-9</v>
      </c>
      <c r="BJ45" s="1">
        <v>0</v>
      </c>
      <c r="BK45" s="1">
        <v>5.306369E-4</v>
      </c>
      <c r="BL45" s="1">
        <v>3.1181160000000001</v>
      </c>
      <c r="BM45" s="1">
        <v>289586.8</v>
      </c>
      <c r="BN45" s="1">
        <v>27597.360000000001</v>
      </c>
      <c r="BO45" s="1">
        <v>2.3639000000000001E-4</v>
      </c>
      <c r="BP45" s="1">
        <v>9.845783E-5</v>
      </c>
      <c r="BQ45" s="1">
        <v>1.4914360000000001E-3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1.2253559999999999E-21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8.1374229999999995E-3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N45" s="1">
        <f t="shared" si="0"/>
        <v>8648665528741739</v>
      </c>
      <c r="DP45" s="1">
        <f t="shared" si="1"/>
        <v>2.5393466688028068E-5</v>
      </c>
      <c r="DQ45" s="1">
        <f t="shared" si="2"/>
        <v>0.98731705736830622</v>
      </c>
      <c r="DR45" s="1">
        <f t="shared" si="3"/>
        <v>6.4835135332326757E-8</v>
      </c>
      <c r="DS45" s="1">
        <f t="shared" si="4"/>
        <v>2.8546693033684608E-3</v>
      </c>
      <c r="DT45" s="1">
        <f t="shared" si="5"/>
        <v>4.8265758296786731E-5</v>
      </c>
    </row>
    <row r="46" spans="1:124" x14ac:dyDescent="0.2">
      <c r="A46">
        <v>12513.439863</v>
      </c>
      <c r="B46">
        <v>12369.607221</v>
      </c>
      <c r="C46">
        <v>12657.272505000001</v>
      </c>
      <c r="D46">
        <v>941.43831699999998</v>
      </c>
      <c r="E46" s="1">
        <v>90.544280000000001</v>
      </c>
      <c r="F46" s="1">
        <v>260.24119999999999</v>
      </c>
      <c r="G46" s="1">
        <v>2.348383E-18</v>
      </c>
      <c r="H46" s="1">
        <v>297386900000</v>
      </c>
      <c r="I46" s="1">
        <v>4195883</v>
      </c>
      <c r="J46" s="1">
        <v>1.0808480000000001E-4</v>
      </c>
      <c r="K46" s="1">
        <v>2.293425E-2</v>
      </c>
      <c r="L46" s="1">
        <v>58136940000000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6.8689629999999996E-3</v>
      </c>
      <c r="Y46" s="1">
        <v>16995070000000</v>
      </c>
      <c r="Z46" s="1">
        <v>377857300</v>
      </c>
      <c r="AA46" s="1">
        <v>19328.98</v>
      </c>
      <c r="AB46" s="1">
        <v>9.8984860000000002E-6</v>
      </c>
      <c r="AC46" s="1">
        <v>1.97401</v>
      </c>
      <c r="AD46" s="1">
        <v>2.7151169999999999E-19</v>
      </c>
      <c r="AE46" s="1">
        <v>1.63492E-14</v>
      </c>
      <c r="AF46" s="1">
        <v>723.84209999999996</v>
      </c>
      <c r="AG46" s="1">
        <v>1.5688059999999999E-4</v>
      </c>
      <c r="AH46" s="1">
        <v>2.7473290000000001</v>
      </c>
      <c r="AI46" s="1">
        <v>2.2349610000000001E-4</v>
      </c>
      <c r="AJ46" s="1">
        <v>0.1599853</v>
      </c>
      <c r="AK46" s="1">
        <v>4.3940099999999996E-6</v>
      </c>
      <c r="AL46" s="1">
        <v>4.4401919999999999E-4</v>
      </c>
      <c r="AM46" s="1">
        <v>5.3646700000000003E-5</v>
      </c>
      <c r="AN46" s="1">
        <v>1.278621E-5</v>
      </c>
      <c r="AO46" s="1">
        <v>3.0251319999999999E-14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314263100000</v>
      </c>
      <c r="BF46" s="1">
        <v>5887017000000000</v>
      </c>
      <c r="BG46" s="1">
        <v>1.4888650000000001</v>
      </c>
      <c r="BH46" s="1">
        <v>0</v>
      </c>
      <c r="BI46" s="1">
        <v>4.6939580000000004E-9</v>
      </c>
      <c r="BJ46" s="1">
        <v>0</v>
      </c>
      <c r="BK46" s="1">
        <v>2.595591E-3</v>
      </c>
      <c r="BL46" s="1">
        <v>7.5511200000000001</v>
      </c>
      <c r="BM46" s="1">
        <v>378099.9</v>
      </c>
      <c r="BN46" s="1">
        <v>30174.720000000001</v>
      </c>
      <c r="BO46" s="1">
        <v>3.0529230000000002E-4</v>
      </c>
      <c r="BP46" s="1">
        <v>1.694644E-5</v>
      </c>
      <c r="BQ46" s="1">
        <v>7.6565940000000001E-3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8.8838330000000007E-22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1.773392E-2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N46" s="1">
        <f t="shared" si="0"/>
        <v>5962761042481785</v>
      </c>
      <c r="DP46" s="1">
        <f t="shared" si="1"/>
        <v>4.9874026123344933E-5</v>
      </c>
      <c r="DQ46" s="1">
        <f t="shared" si="2"/>
        <v>0.98729715278842378</v>
      </c>
      <c r="DR46" s="1">
        <f t="shared" si="3"/>
        <v>6.3369519138524873E-8</v>
      </c>
      <c r="DS46" s="1">
        <f t="shared" si="4"/>
        <v>2.8502014216096128E-3</v>
      </c>
      <c r="DT46" s="1">
        <f t="shared" si="5"/>
        <v>5.2704292149396494E-5</v>
      </c>
    </row>
    <row r="47" spans="1:124" x14ac:dyDescent="0.2">
      <c r="A47">
        <v>12801.105147</v>
      </c>
      <c r="B47">
        <v>12657.272505000001</v>
      </c>
      <c r="C47">
        <v>12944.937789</v>
      </c>
      <c r="D47">
        <v>923.78513799999996</v>
      </c>
      <c r="E47" s="1">
        <v>60.710320000000003</v>
      </c>
      <c r="F47" s="1">
        <v>490.1848</v>
      </c>
      <c r="G47" s="1">
        <v>6.3071479999999998E-18</v>
      </c>
      <c r="H47" s="1">
        <v>361534200000</v>
      </c>
      <c r="I47" s="1">
        <v>4362968</v>
      </c>
      <c r="J47" s="1">
        <v>7.9703999999999994E-5</v>
      </c>
      <c r="K47" s="1">
        <v>1.73787E-2</v>
      </c>
      <c r="L47" s="1">
        <v>39707100000000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5.6716389999999998E-2</v>
      </c>
      <c r="Y47" s="1">
        <v>11594170000000</v>
      </c>
      <c r="Z47" s="1">
        <v>249701900</v>
      </c>
      <c r="AA47" s="1">
        <v>9145.1869999999999</v>
      </c>
      <c r="AB47" s="1">
        <v>1.943981E-6</v>
      </c>
      <c r="AC47" s="1">
        <v>0.99339820000000001</v>
      </c>
      <c r="AD47" s="1">
        <v>3.8325100000000001E-19</v>
      </c>
      <c r="AE47" s="1">
        <v>6.1150849999999995E-14</v>
      </c>
      <c r="AF47" s="1">
        <v>1304.8309999999999</v>
      </c>
      <c r="AG47" s="1">
        <v>1.833584E-4</v>
      </c>
      <c r="AH47" s="1">
        <v>2.5141990000000001</v>
      </c>
      <c r="AI47" s="1">
        <v>3.5834050000000002E-4</v>
      </c>
      <c r="AJ47" s="1">
        <v>0.16401250000000001</v>
      </c>
      <c r="AK47" s="1">
        <v>3.6115730000000002E-6</v>
      </c>
      <c r="AL47" s="1">
        <v>4.1517410000000001E-4</v>
      </c>
      <c r="AM47" s="1">
        <v>4.686792E-5</v>
      </c>
      <c r="AN47" s="1">
        <v>2.5580729999999999E-5</v>
      </c>
      <c r="AO47" s="1">
        <v>3.9733270000000003E-14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233609100000</v>
      </c>
      <c r="BF47" s="1">
        <v>4022631000000000</v>
      </c>
      <c r="BG47" s="1">
        <v>2.8259449999999999</v>
      </c>
      <c r="BH47" s="1">
        <v>0</v>
      </c>
      <c r="BI47" s="1">
        <v>5.5780839999999999E-9</v>
      </c>
      <c r="BJ47" s="1">
        <v>0</v>
      </c>
      <c r="BK47" s="1">
        <v>9.2650670000000001E-3</v>
      </c>
      <c r="BL47" s="1">
        <v>14.753539999999999</v>
      </c>
      <c r="BM47" s="1">
        <v>438777.5</v>
      </c>
      <c r="BN47" s="1">
        <v>29177.919999999998</v>
      </c>
      <c r="BO47" s="1">
        <v>3.9487320000000003E-4</v>
      </c>
      <c r="BP47" s="1">
        <v>3.2116880000000002E-6</v>
      </c>
      <c r="BQ47" s="1">
        <v>2.2841899999999998E-2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1.385401E-21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3.1320519999999998E-2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N47" s="1">
        <f t="shared" si="0"/>
        <v>4074527667843785.5</v>
      </c>
      <c r="DP47" s="1">
        <f t="shared" si="1"/>
        <v>8.8730333788927649E-5</v>
      </c>
      <c r="DQ47" s="1">
        <f t="shared" si="2"/>
        <v>0.98726314506259105</v>
      </c>
      <c r="DR47" s="1">
        <f t="shared" si="3"/>
        <v>6.1283643247940119E-8</v>
      </c>
      <c r="DS47" s="1">
        <f t="shared" si="4"/>
        <v>2.8455249160537822E-3</v>
      </c>
      <c r="DT47" s="1">
        <f t="shared" si="5"/>
        <v>5.7334032075336104E-5</v>
      </c>
    </row>
    <row r="48" spans="1:124" x14ac:dyDescent="0.2">
      <c r="A48">
        <v>13088.770431000001</v>
      </c>
      <c r="B48">
        <v>12944.937789</v>
      </c>
      <c r="C48">
        <v>13232.603073</v>
      </c>
      <c r="D48">
        <v>907.48577799999998</v>
      </c>
      <c r="E48" s="1">
        <v>40.39931</v>
      </c>
      <c r="F48" s="1">
        <v>901.90840000000003</v>
      </c>
      <c r="G48" s="1">
        <v>1.473016E-17</v>
      </c>
      <c r="H48" s="1">
        <v>431170600000</v>
      </c>
      <c r="I48" s="1">
        <v>4480210</v>
      </c>
      <c r="J48" s="1">
        <v>5.3054740000000002E-5</v>
      </c>
      <c r="K48" s="1">
        <v>1.1745129999999999E-2</v>
      </c>
      <c r="L48" s="1">
        <v>26884140000000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0.4341006</v>
      </c>
      <c r="Y48" s="1">
        <v>7840572000000</v>
      </c>
      <c r="Z48" s="1">
        <v>160934200</v>
      </c>
      <c r="AA48" s="1">
        <v>4249.0420000000004</v>
      </c>
      <c r="AB48" s="1">
        <v>3.8890640000000002E-7</v>
      </c>
      <c r="AC48" s="1">
        <v>0.4997606</v>
      </c>
      <c r="AD48" s="1">
        <v>5.6160919999999996E-19</v>
      </c>
      <c r="AE48" s="1">
        <v>1.647893E-13</v>
      </c>
      <c r="AF48" s="1">
        <v>1701.229</v>
      </c>
      <c r="AG48" s="1">
        <v>1.7674969999999999E-4</v>
      </c>
      <c r="AH48" s="1">
        <v>2.1325569999999998</v>
      </c>
      <c r="AI48" s="1">
        <v>5.1457469999999998E-4</v>
      </c>
      <c r="AJ48" s="1">
        <v>0.15238959999999999</v>
      </c>
      <c r="AK48" s="1">
        <v>3.0063899999999999E-6</v>
      </c>
      <c r="AL48" s="1">
        <v>3.802826E-4</v>
      </c>
      <c r="AM48" s="1">
        <v>3.9074920000000002E-5</v>
      </c>
      <c r="AN48" s="1">
        <v>4.6619080000000001E-5</v>
      </c>
      <c r="AO48" s="1">
        <v>7.6131790000000006E-14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171523600000</v>
      </c>
      <c r="BF48" s="1">
        <v>2724825000000000</v>
      </c>
      <c r="BG48" s="1">
        <v>5.2488669999999997</v>
      </c>
      <c r="BH48" s="1">
        <v>0</v>
      </c>
      <c r="BI48" s="1">
        <v>6.6000779999999996E-9</v>
      </c>
      <c r="BJ48" s="1">
        <v>0</v>
      </c>
      <c r="BK48" s="1">
        <v>3.128732E-2</v>
      </c>
      <c r="BL48" s="1">
        <v>27.596530000000001</v>
      </c>
      <c r="BM48" s="1">
        <v>491697.9</v>
      </c>
      <c r="BN48" s="1">
        <v>27268.560000000001</v>
      </c>
      <c r="BO48" s="1">
        <v>5.6091170000000001E-4</v>
      </c>
      <c r="BP48" s="1">
        <v>6.2759849999999999E-7</v>
      </c>
      <c r="BQ48" s="1">
        <v>4.8885999999999999E-2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2.3693769999999999E-21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5.3206070000000001E-2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N48" s="1">
        <f t="shared" si="0"/>
        <v>2760152572140264.5</v>
      </c>
      <c r="DP48" s="1">
        <f t="shared" si="1"/>
        <v>1.5621259648906428E-4</v>
      </c>
      <c r="DQ48" s="1">
        <f t="shared" si="2"/>
        <v>0.9872008625549018</v>
      </c>
      <c r="DR48" s="1">
        <f t="shared" si="3"/>
        <v>5.8306269596977084E-8</v>
      </c>
      <c r="DS48" s="1">
        <f t="shared" si="4"/>
        <v>2.8406299271783735E-3</v>
      </c>
      <c r="DT48" s="1">
        <f t="shared" si="5"/>
        <v>6.2142796645113703E-5</v>
      </c>
    </row>
    <row r="49" spans="1:124" x14ac:dyDescent="0.2">
      <c r="A49">
        <v>13376.435715</v>
      </c>
      <c r="B49">
        <v>13232.603073</v>
      </c>
      <c r="C49">
        <v>13520.268357000001</v>
      </c>
      <c r="D49">
        <v>892.78329199999996</v>
      </c>
      <c r="E49" s="1">
        <v>26.697859999999999</v>
      </c>
      <c r="F49" s="1">
        <v>1725.098</v>
      </c>
      <c r="G49" s="1">
        <v>3.4298710000000002E-17</v>
      </c>
      <c r="H49" s="1">
        <v>519753400000</v>
      </c>
      <c r="I49" s="1">
        <v>4696948</v>
      </c>
      <c r="J49" s="1">
        <v>3.5478709999999997E-5</v>
      </c>
      <c r="K49" s="1">
        <v>7.7777109999999997E-3</v>
      </c>
      <c r="L49" s="1">
        <v>18049810000000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3.414615</v>
      </c>
      <c r="Y49" s="1">
        <v>5257641000000</v>
      </c>
      <c r="Z49" s="1">
        <v>100240000</v>
      </c>
      <c r="AA49" s="1">
        <v>1939.6410000000001</v>
      </c>
      <c r="AB49" s="1">
        <v>9.3065510000000004E-8</v>
      </c>
      <c r="AC49" s="1">
        <v>0.25725290000000001</v>
      </c>
      <c r="AD49" s="1">
        <v>8.8672380000000004E-19</v>
      </c>
      <c r="AE49" s="1">
        <v>3.6360520000000001E-13</v>
      </c>
      <c r="AF49" s="1">
        <v>1706.316</v>
      </c>
      <c r="AG49" s="1">
        <v>1.437125E-4</v>
      </c>
      <c r="AH49" s="1">
        <v>1.6718010000000001</v>
      </c>
      <c r="AI49" s="1">
        <v>6.7392579999999997E-4</v>
      </c>
      <c r="AJ49" s="1">
        <v>0.13128970000000001</v>
      </c>
      <c r="AK49" s="1">
        <v>2.6484919999999999E-6</v>
      </c>
      <c r="AL49" s="1">
        <v>3.4016999999999999E-4</v>
      </c>
      <c r="AM49" s="1">
        <v>3.1716410000000001E-5</v>
      </c>
      <c r="AN49" s="1">
        <v>8.0102810000000002E-5</v>
      </c>
      <c r="AO49" s="1">
        <v>1.685577E-13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124350700000</v>
      </c>
      <c r="BF49" s="1">
        <v>1830238000000000</v>
      </c>
      <c r="BG49" s="1">
        <v>10.144170000000001</v>
      </c>
      <c r="BH49" s="1">
        <v>0</v>
      </c>
      <c r="BI49" s="1">
        <v>8.3595540000000002E-9</v>
      </c>
      <c r="BJ49" s="1">
        <v>0</v>
      </c>
      <c r="BK49" s="1">
        <v>0.1081796</v>
      </c>
      <c r="BL49" s="1">
        <v>51.971330000000002</v>
      </c>
      <c r="BM49" s="1">
        <v>543092.19999999995</v>
      </c>
      <c r="BN49" s="1">
        <v>25280.66</v>
      </c>
      <c r="BO49" s="1">
        <v>8.8482510000000003E-4</v>
      </c>
      <c r="BP49" s="1">
        <v>1.4339250000000001E-7</v>
      </c>
      <c r="BQ49" s="1">
        <v>8.2229469999999999E-2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4.1293079999999997E-21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9.1657859999999994E-2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N49" s="1">
        <f t="shared" si="0"/>
        <v>1854189660610759.8</v>
      </c>
      <c r="DP49" s="1">
        <f t="shared" si="1"/>
        <v>2.8031296422438042E-4</v>
      </c>
      <c r="DQ49" s="1">
        <f t="shared" si="2"/>
        <v>0.98708241065109259</v>
      </c>
      <c r="DR49" s="1">
        <f t="shared" si="3"/>
        <v>5.4061352044742553E-8</v>
      </c>
      <c r="DS49" s="1">
        <f t="shared" si="4"/>
        <v>2.8355464986619342E-3</v>
      </c>
      <c r="DT49" s="1">
        <f t="shared" si="5"/>
        <v>6.7064714382583478E-5</v>
      </c>
    </row>
    <row r="50" spans="1:124" x14ac:dyDescent="0.2">
      <c r="A50">
        <v>13664.101000000001</v>
      </c>
      <c r="B50">
        <v>13520.268357000001</v>
      </c>
      <c r="C50">
        <v>13807.933642</v>
      </c>
      <c r="D50">
        <v>880.01898700000004</v>
      </c>
      <c r="E50" s="1">
        <v>17.532219999999999</v>
      </c>
      <c r="F50" s="1">
        <v>3414.2069999999999</v>
      </c>
      <c r="G50" s="1">
        <v>8.102703E-17</v>
      </c>
      <c r="H50" s="1">
        <v>630528900000</v>
      </c>
      <c r="I50" s="1">
        <v>5029338</v>
      </c>
      <c r="J50" s="1">
        <v>2.502338E-5</v>
      </c>
      <c r="K50" s="1">
        <v>5.1857309999999998E-3</v>
      </c>
      <c r="L50" s="1">
        <v>12019090000000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26.512740000000001</v>
      </c>
      <c r="Y50" s="1">
        <v>3496772000000</v>
      </c>
      <c r="Z50" s="1">
        <v>59405260</v>
      </c>
      <c r="AA50" s="1">
        <v>869.87149999999997</v>
      </c>
      <c r="AB50" s="1">
        <v>4.3825789999999997E-8</v>
      </c>
      <c r="AC50" s="1">
        <v>0.1448885</v>
      </c>
      <c r="AD50" s="1">
        <v>1.4467270000000001E-18</v>
      </c>
      <c r="AE50" s="1">
        <v>6.7823070000000003E-13</v>
      </c>
      <c r="AF50" s="1">
        <v>1355.829</v>
      </c>
      <c r="AG50" s="1">
        <v>9.6528160000000006E-5</v>
      </c>
      <c r="AH50" s="1">
        <v>1.1555120000000001</v>
      </c>
      <c r="AI50" s="1">
        <v>7.5628830000000003E-4</v>
      </c>
      <c r="AJ50" s="1">
        <v>0.1012194</v>
      </c>
      <c r="AK50" s="1">
        <v>2.482049E-6</v>
      </c>
      <c r="AL50" s="1">
        <v>2.876674E-4</v>
      </c>
      <c r="AM50" s="1">
        <v>2.457736E-5</v>
      </c>
      <c r="AN50" s="1">
        <v>1.2393159999999999E-4</v>
      </c>
      <c r="AO50" s="1">
        <v>3.5260950000000001E-13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88799350000</v>
      </c>
      <c r="BF50" s="1">
        <v>1219187000000000</v>
      </c>
      <c r="BG50" s="1">
        <v>20.284300000000002</v>
      </c>
      <c r="BH50" s="1">
        <v>0</v>
      </c>
      <c r="BI50" s="1">
        <v>1.1438009999999999E-8</v>
      </c>
      <c r="BJ50" s="1">
        <v>0</v>
      </c>
      <c r="BK50" s="1">
        <v>0.37219170000000001</v>
      </c>
      <c r="BL50" s="1">
        <v>96.263689999999997</v>
      </c>
      <c r="BM50" s="1">
        <v>579740.5</v>
      </c>
      <c r="BN50" s="1">
        <v>23050.22</v>
      </c>
      <c r="BO50" s="1">
        <v>1.466389E-3</v>
      </c>
      <c r="BP50" s="1">
        <v>6.2930400000000003E-8</v>
      </c>
      <c r="BQ50" s="1">
        <v>0.1115587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6.9981629999999998E-21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0.15703259999999999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N50" s="1">
        <f t="shared" si="0"/>
        <v>1235422255293173.5</v>
      </c>
      <c r="DP50" s="1">
        <f t="shared" si="1"/>
        <v>5.1037521567908904E-4</v>
      </c>
      <c r="DQ50" s="1">
        <f t="shared" si="2"/>
        <v>0.98685853745663599</v>
      </c>
      <c r="DR50" s="1">
        <f t="shared" si="3"/>
        <v>4.8084984502649063E-8</v>
      </c>
      <c r="DS50" s="1">
        <f t="shared" si="4"/>
        <v>2.8304265889804565E-3</v>
      </c>
      <c r="DT50" s="1">
        <f t="shared" si="5"/>
        <v>7.1877732183906105E-5</v>
      </c>
    </row>
    <row r="51" spans="1:124" x14ac:dyDescent="0.2">
      <c r="A51">
        <v>13951.766283999999</v>
      </c>
      <c r="B51">
        <v>13807.933642</v>
      </c>
      <c r="C51">
        <v>14095.598926000001</v>
      </c>
      <c r="D51">
        <v>869.386796</v>
      </c>
      <c r="E51" s="1">
        <v>11.44833</v>
      </c>
      <c r="F51" s="1">
        <v>6791.3739999999998</v>
      </c>
      <c r="G51" s="1">
        <v>1.887294E-16</v>
      </c>
      <c r="H51" s="1">
        <v>757583000000</v>
      </c>
      <c r="I51" s="1">
        <v>5432668</v>
      </c>
      <c r="J51" s="1">
        <v>1.9115180000000002E-5</v>
      </c>
      <c r="K51" s="1">
        <v>3.480169E-3</v>
      </c>
      <c r="L51" s="1">
        <v>7940680000000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184.36349999999999</v>
      </c>
      <c r="Y51" s="1">
        <v>2307669000000</v>
      </c>
      <c r="Z51" s="1">
        <v>32619920</v>
      </c>
      <c r="AA51" s="1">
        <v>383.53859999999997</v>
      </c>
      <c r="AB51" s="1">
        <v>4.286724E-8</v>
      </c>
      <c r="AC51" s="1">
        <v>0.10107919999999999</v>
      </c>
      <c r="AD51" s="1">
        <v>2.2609769999999998E-18</v>
      </c>
      <c r="AE51" s="1">
        <v>1.058034E-12</v>
      </c>
      <c r="AF51" s="1">
        <v>864.84370000000001</v>
      </c>
      <c r="AG51" s="1">
        <v>5.2504850000000003E-5</v>
      </c>
      <c r="AH51" s="1">
        <v>0.66867350000000003</v>
      </c>
      <c r="AI51" s="1">
        <v>6.745872E-4</v>
      </c>
      <c r="AJ51" s="1">
        <v>6.5087649999999997E-2</v>
      </c>
      <c r="AK51" s="1">
        <v>2.4522879999999999E-6</v>
      </c>
      <c r="AL51" s="1">
        <v>2.188949E-4</v>
      </c>
      <c r="AM51" s="1">
        <v>1.754725E-5</v>
      </c>
      <c r="AN51" s="1">
        <v>1.6027789999999999E-4</v>
      </c>
      <c r="AO51" s="1">
        <v>6.078593E-13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62304920000</v>
      </c>
      <c r="BF51" s="1">
        <v>805674600000000</v>
      </c>
      <c r="BG51" s="1">
        <v>40.726190000000003</v>
      </c>
      <c r="BH51" s="1">
        <v>0</v>
      </c>
      <c r="BI51" s="1">
        <v>1.659094E-8</v>
      </c>
      <c r="BJ51" s="1">
        <v>0</v>
      </c>
      <c r="BK51" s="1">
        <v>1.1819539999999999</v>
      </c>
      <c r="BL51" s="1">
        <v>165.38059999999999</v>
      </c>
      <c r="BM51" s="1">
        <v>573340.4</v>
      </c>
      <c r="BN51" s="1">
        <v>20295.45</v>
      </c>
      <c r="BO51" s="1">
        <v>2.344881E-3</v>
      </c>
      <c r="BP51" s="1">
        <v>5.6957749999999999E-8</v>
      </c>
      <c r="BQ51" s="1">
        <v>0.1217323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1.0659E-20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0.25330380000000002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N51" s="1">
        <f t="shared" si="0"/>
        <v>816742875574656.5</v>
      </c>
      <c r="DP51" s="1">
        <f t="shared" si="1"/>
        <v>9.2756609534790015E-4</v>
      </c>
      <c r="DQ51" s="1">
        <f t="shared" si="2"/>
        <v>0.9864482741072349</v>
      </c>
      <c r="DR51" s="1">
        <f t="shared" si="3"/>
        <v>3.99390321918006E-8</v>
      </c>
      <c r="DS51" s="1">
        <f t="shared" si="4"/>
        <v>2.8254534799294511E-3</v>
      </c>
      <c r="DT51" s="1">
        <f t="shared" si="5"/>
        <v>7.6284620121311184E-5</v>
      </c>
    </row>
    <row r="52" spans="1:124" x14ac:dyDescent="0.2">
      <c r="A52">
        <v>14239.431568</v>
      </c>
      <c r="B52">
        <v>14095.598926000001</v>
      </c>
      <c r="C52">
        <v>14383.264209999999</v>
      </c>
      <c r="D52">
        <v>860.40379700000005</v>
      </c>
      <c r="E52" s="1">
        <v>7.4390590000000003</v>
      </c>
      <c r="F52" s="1">
        <v>13496.37</v>
      </c>
      <c r="G52" s="1">
        <v>4.3381629999999999E-16</v>
      </c>
      <c r="H52" s="1">
        <v>900709100000</v>
      </c>
      <c r="I52" s="1">
        <v>5894361</v>
      </c>
      <c r="J52" s="1">
        <v>1.621432E-5</v>
      </c>
      <c r="K52" s="1">
        <v>2.347132E-3</v>
      </c>
      <c r="L52" s="1">
        <v>5211489000000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1087.027</v>
      </c>
      <c r="Y52" s="1">
        <v>1512988000000</v>
      </c>
      <c r="Z52" s="1">
        <v>15850760</v>
      </c>
      <c r="AA52" s="1">
        <v>166.75319999999999</v>
      </c>
      <c r="AB52" s="1">
        <v>4.8173519999999998E-8</v>
      </c>
      <c r="AC52" s="1">
        <v>9.1949139999999999E-2</v>
      </c>
      <c r="AD52" s="1">
        <v>3.1639750000000001E-18</v>
      </c>
      <c r="AE52" s="1">
        <v>1.3553409999999999E-12</v>
      </c>
      <c r="AF52" s="1">
        <v>442.4633</v>
      </c>
      <c r="AG52" s="1">
        <v>2.259965E-5</v>
      </c>
      <c r="AH52" s="1">
        <v>0.31027900000000003</v>
      </c>
      <c r="AI52" s="1">
        <v>4.6124149999999999E-4</v>
      </c>
      <c r="AJ52" s="1">
        <v>3.194425E-2</v>
      </c>
      <c r="AK52" s="1">
        <v>2.532511E-6</v>
      </c>
      <c r="AL52" s="1">
        <v>1.437907E-4</v>
      </c>
      <c r="AM52" s="1">
        <v>1.131632E-5</v>
      </c>
      <c r="AN52" s="1">
        <v>1.6785629999999999E-4</v>
      </c>
      <c r="AO52" s="1">
        <v>8.301653E-13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43091930000</v>
      </c>
      <c r="BF52" s="1">
        <v>528780300000000</v>
      </c>
      <c r="BG52" s="1">
        <v>81.633380000000002</v>
      </c>
      <c r="BH52" s="1">
        <v>0</v>
      </c>
      <c r="BI52" s="1">
        <v>2.509563E-8</v>
      </c>
      <c r="BJ52" s="1">
        <v>0</v>
      </c>
      <c r="BK52" s="1">
        <v>3.2750870000000001</v>
      </c>
      <c r="BL52" s="1">
        <v>249.4873</v>
      </c>
      <c r="BM52" s="1">
        <v>500521.2</v>
      </c>
      <c r="BN52" s="1">
        <v>17321.14</v>
      </c>
      <c r="BO52" s="1">
        <v>3.3635480000000001E-3</v>
      </c>
      <c r="BP52" s="1">
        <v>5.9056029999999999E-8</v>
      </c>
      <c r="BQ52" s="1">
        <v>0.1059427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1.3949690000000001E-20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0.36436869999999999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N52" s="1">
        <f t="shared" si="0"/>
        <v>536448600308491.25</v>
      </c>
      <c r="DP52" s="1">
        <f t="shared" si="1"/>
        <v>1.6790221830796769E-3</v>
      </c>
      <c r="DQ52" s="1">
        <f t="shared" si="2"/>
        <v>0.98570543328087445</v>
      </c>
      <c r="DR52" s="1">
        <f t="shared" si="3"/>
        <v>2.9547583852180486E-8</v>
      </c>
      <c r="DS52" s="1">
        <f t="shared" si="4"/>
        <v>2.8203783160771377E-3</v>
      </c>
      <c r="DT52" s="1">
        <f t="shared" si="5"/>
        <v>8.0328161869039203E-5</v>
      </c>
    </row>
    <row r="53" spans="1:124" x14ac:dyDescent="0.2">
      <c r="A53">
        <v>14527.096852000001</v>
      </c>
      <c r="B53">
        <v>14383.264209999999</v>
      </c>
      <c r="C53">
        <v>14670.929494</v>
      </c>
      <c r="D53">
        <v>852.45917999999995</v>
      </c>
      <c r="E53" s="1">
        <v>4.8134059999999996</v>
      </c>
      <c r="F53" s="1">
        <v>26552.21</v>
      </c>
      <c r="G53" s="1">
        <v>9.757978E-16</v>
      </c>
      <c r="H53" s="1">
        <v>1057932000000</v>
      </c>
      <c r="I53" s="1">
        <v>6379163</v>
      </c>
      <c r="J53" s="1">
        <v>1.5348840000000001E-5</v>
      </c>
      <c r="K53" s="1">
        <v>1.5786489999999999E-3</v>
      </c>
      <c r="L53" s="1">
        <v>3402120000000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4950.9539999999997</v>
      </c>
      <c r="Y53" s="1">
        <v>986731000000</v>
      </c>
      <c r="Z53" s="1">
        <v>6279048</v>
      </c>
      <c r="AA53" s="1">
        <v>71.735129999999998</v>
      </c>
      <c r="AB53" s="1">
        <v>4.5240500000000001E-8</v>
      </c>
      <c r="AC53" s="1">
        <v>8.9777209999999996E-2</v>
      </c>
      <c r="AD53" s="1">
        <v>3.5717319999999998E-18</v>
      </c>
      <c r="AE53" s="1">
        <v>1.3566290000000001E-12</v>
      </c>
      <c r="AF53" s="1">
        <v>176.88910000000001</v>
      </c>
      <c r="AG53" s="1">
        <v>7.0699449999999996E-6</v>
      </c>
      <c r="AH53" s="1">
        <v>0.1051877</v>
      </c>
      <c r="AI53" s="1">
        <v>2.2260410000000001E-4</v>
      </c>
      <c r="AJ53" s="1">
        <v>1.019721E-2</v>
      </c>
      <c r="AK53" s="1">
        <v>2.5301690000000001E-6</v>
      </c>
      <c r="AL53" s="1">
        <v>7.6173039999999993E-5</v>
      </c>
      <c r="AM53" s="1">
        <v>6.4375690000000002E-6</v>
      </c>
      <c r="AN53" s="1">
        <v>1.339968E-4</v>
      </c>
      <c r="AO53" s="1">
        <v>8.4676709999999998E-13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29510120000</v>
      </c>
      <c r="BF53" s="1">
        <v>345091000000000</v>
      </c>
      <c r="BG53" s="1">
        <v>161.96250000000001</v>
      </c>
      <c r="BH53" s="1">
        <v>0</v>
      </c>
      <c r="BI53" s="1">
        <v>3.8597269999999998E-8</v>
      </c>
      <c r="BJ53" s="1">
        <v>0</v>
      </c>
      <c r="BK53" s="1">
        <v>7.1820930000000001</v>
      </c>
      <c r="BL53" s="1">
        <v>300.34879999999998</v>
      </c>
      <c r="BM53" s="1">
        <v>354158</v>
      </c>
      <c r="BN53" s="1">
        <v>14399.74</v>
      </c>
      <c r="BO53" s="1">
        <v>3.8930140000000002E-3</v>
      </c>
      <c r="BP53" s="1">
        <v>5.129993E-8</v>
      </c>
      <c r="BQ53" s="1">
        <v>7.0805839999999995E-2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1.4378329999999999E-20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0.42534630000000001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N53" s="1">
        <f t="shared" si="0"/>
        <v>350567306178990.75</v>
      </c>
      <c r="DP53" s="1">
        <f t="shared" si="1"/>
        <v>3.0177714274925763E-3</v>
      </c>
      <c r="DQ53" s="1">
        <f t="shared" si="2"/>
        <v>0.98437873103832829</v>
      </c>
      <c r="DR53" s="1">
        <f t="shared" si="3"/>
        <v>1.791110548339062E-8</v>
      </c>
      <c r="DS53" s="1">
        <f t="shared" si="4"/>
        <v>2.8146692021993637E-3</v>
      </c>
      <c r="DT53" s="1">
        <f t="shared" si="5"/>
        <v>8.4178186270835202E-5</v>
      </c>
    </row>
    <row r="54" spans="1:124" x14ac:dyDescent="0.2">
      <c r="A54">
        <v>14814.762135999999</v>
      </c>
      <c r="B54">
        <v>14670.929494</v>
      </c>
      <c r="C54">
        <v>14958.594778000001</v>
      </c>
      <c r="D54">
        <v>845.202631</v>
      </c>
      <c r="E54" s="1">
        <v>3.1024910000000001</v>
      </c>
      <c r="F54" s="1">
        <v>51848.6</v>
      </c>
      <c r="G54" s="1">
        <v>2.1629669999999999E-15</v>
      </c>
      <c r="H54" s="1">
        <v>1231075000000</v>
      </c>
      <c r="I54" s="1">
        <v>6885804</v>
      </c>
      <c r="J54" s="1">
        <v>1.6077280000000001E-5</v>
      </c>
      <c r="K54" s="1">
        <v>1.0582860000000001E-3</v>
      </c>
      <c r="L54" s="1">
        <v>2210783000000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15099.02</v>
      </c>
      <c r="Y54" s="1">
        <v>640580300000</v>
      </c>
      <c r="Z54" s="1">
        <v>1751235</v>
      </c>
      <c r="AA54" s="1">
        <v>30.568619999999999</v>
      </c>
      <c r="AB54" s="1">
        <v>2.9649200000000001E-8</v>
      </c>
      <c r="AC54" s="1">
        <v>6.8666649999999996E-2</v>
      </c>
      <c r="AD54" s="1">
        <v>2.7797189999999999E-18</v>
      </c>
      <c r="AE54" s="1">
        <v>1.031364E-12</v>
      </c>
      <c r="AF54" s="1">
        <v>52.553730000000002</v>
      </c>
      <c r="AG54" s="1">
        <v>1.2599809999999999E-6</v>
      </c>
      <c r="AH54" s="1">
        <v>2.0296390000000001E-2</v>
      </c>
      <c r="AI54" s="1">
        <v>5.9676999999999998E-5</v>
      </c>
      <c r="AJ54" s="1">
        <v>1.589869E-3</v>
      </c>
      <c r="AK54" s="1">
        <v>2.0006400000000002E-6</v>
      </c>
      <c r="AL54" s="1">
        <v>2.8988839999999999E-5</v>
      </c>
      <c r="AM54" s="1">
        <v>3.0442169999999998E-6</v>
      </c>
      <c r="AN54" s="1">
        <v>7.1841380000000005E-5</v>
      </c>
      <c r="AO54" s="1">
        <v>5.7150280000000004E-13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20066130000</v>
      </c>
      <c r="BF54" s="1">
        <v>224059200000000</v>
      </c>
      <c r="BG54" s="1">
        <v>319.05770000000001</v>
      </c>
      <c r="BH54" s="1">
        <v>0</v>
      </c>
      <c r="BI54" s="1">
        <v>5.9946460000000001E-8</v>
      </c>
      <c r="BJ54" s="1">
        <v>0</v>
      </c>
      <c r="BK54" s="1">
        <v>10.72662</v>
      </c>
      <c r="BL54" s="1">
        <v>247.62209999999999</v>
      </c>
      <c r="BM54" s="1">
        <v>175770.9</v>
      </c>
      <c r="BN54" s="1">
        <v>11739.1</v>
      </c>
      <c r="BO54" s="1">
        <v>3.1043849999999999E-3</v>
      </c>
      <c r="BP54" s="1">
        <v>3.1176750000000002E-8</v>
      </c>
      <c r="BQ54" s="1">
        <v>3.4232720000000001E-2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1.019456E-20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0.34805469999999999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N54" s="1">
        <f t="shared" si="0"/>
        <v>228161713322157.62</v>
      </c>
      <c r="DP54" s="1">
        <f t="shared" si="1"/>
        <v>5.3956248052089194E-3</v>
      </c>
      <c r="DQ54" s="1">
        <f t="shared" si="2"/>
        <v>0.98201927368784703</v>
      </c>
      <c r="DR54" s="1">
        <f t="shared" si="3"/>
        <v>7.6754113321690735E-9</v>
      </c>
      <c r="DS54" s="1">
        <f t="shared" si="4"/>
        <v>2.8075713960629294E-3</v>
      </c>
      <c r="DT54" s="1">
        <f t="shared" si="5"/>
        <v>8.7946964053812191E-5</v>
      </c>
    </row>
    <row r="55" spans="1:124" x14ac:dyDescent="0.2">
      <c r="A55">
        <v>15102.427421</v>
      </c>
      <c r="B55">
        <v>14958.594778000001</v>
      </c>
      <c r="C55">
        <v>15246.260063</v>
      </c>
      <c r="D55">
        <v>838.73004900000001</v>
      </c>
      <c r="E55" s="1">
        <v>1.9925930000000001</v>
      </c>
      <c r="F55" s="1">
        <v>102370.3</v>
      </c>
      <c r="G55" s="1">
        <v>4.8694890000000003E-15</v>
      </c>
      <c r="H55" s="1">
        <v>1431061000000</v>
      </c>
      <c r="I55" s="1">
        <v>7488837</v>
      </c>
      <c r="J55" s="1">
        <v>1.8457E-5</v>
      </c>
      <c r="K55" s="1">
        <v>7.1566649999999996E-4</v>
      </c>
      <c r="L55" s="1">
        <v>1430282000000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24439.22</v>
      </c>
      <c r="Y55" s="1">
        <v>414032800000</v>
      </c>
      <c r="Z55" s="1">
        <v>267923.3</v>
      </c>
      <c r="AA55" s="1">
        <v>12.85932</v>
      </c>
      <c r="AB55" s="1">
        <v>1.078363E-8</v>
      </c>
      <c r="AC55" s="1">
        <v>2.9453690000000001E-2</v>
      </c>
      <c r="AD55" s="1">
        <v>1.165183E-18</v>
      </c>
      <c r="AE55" s="1">
        <v>6.4136490000000001E-13</v>
      </c>
      <c r="AF55" s="1">
        <v>11.45613</v>
      </c>
      <c r="AG55" s="1">
        <v>7.854247E-8</v>
      </c>
      <c r="AH55" s="1">
        <v>1.3356749999999999E-3</v>
      </c>
      <c r="AI55" s="1">
        <v>5.3528739999999997E-6</v>
      </c>
      <c r="AJ55" s="1">
        <v>7.4096810000000006E-5</v>
      </c>
      <c r="AK55" s="1">
        <v>9.0700300000000004E-7</v>
      </c>
      <c r="AL55" s="1">
        <v>6.5111159999999998E-6</v>
      </c>
      <c r="AM55" s="1">
        <v>9.6833460000000005E-7</v>
      </c>
      <c r="AN55" s="1">
        <v>2.0354770000000002E-5</v>
      </c>
      <c r="AO55" s="1">
        <v>2.0216899999999999E-13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13546530000</v>
      </c>
      <c r="BF55" s="1">
        <v>144688400000000</v>
      </c>
      <c r="BG55" s="1">
        <v>635.97680000000003</v>
      </c>
      <c r="BH55" s="1">
        <v>0</v>
      </c>
      <c r="BI55" s="1">
        <v>9.6174239999999995E-8</v>
      </c>
      <c r="BJ55" s="1">
        <v>0</v>
      </c>
      <c r="BK55" s="1">
        <v>8.5860869999999991</v>
      </c>
      <c r="BL55" s="1">
        <v>109.1181</v>
      </c>
      <c r="BM55" s="1">
        <v>48088.46</v>
      </c>
      <c r="BN55" s="1">
        <v>9451.107</v>
      </c>
      <c r="BO55" s="1">
        <v>1.3297509999999999E-3</v>
      </c>
      <c r="BP55" s="1">
        <v>1.0442349999999999E-8</v>
      </c>
      <c r="BQ55" s="1">
        <v>1.173482E-2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3.975398E-21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0.15826280000000001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N55" s="1">
        <f t="shared" si="0"/>
        <v>147977330271887.56</v>
      </c>
      <c r="DP55" s="1">
        <f t="shared" si="1"/>
        <v>9.6708123965382163E-3</v>
      </c>
      <c r="DQ55" s="1">
        <f t="shared" si="2"/>
        <v>0.97777409373554303</v>
      </c>
      <c r="DR55" s="1">
        <f t="shared" si="3"/>
        <v>1.8105698995091244E-9</v>
      </c>
      <c r="DS55" s="1">
        <f t="shared" si="4"/>
        <v>2.7979474912763519E-3</v>
      </c>
      <c r="DT55" s="1">
        <f t="shared" si="5"/>
        <v>9.1544630350541895E-5</v>
      </c>
    </row>
    <row r="56" spans="1:124" x14ac:dyDescent="0.2">
      <c r="A56">
        <v>15390.092704999999</v>
      </c>
      <c r="B56">
        <v>15246.260063</v>
      </c>
      <c r="C56">
        <v>15533.925347</v>
      </c>
      <c r="D56">
        <v>833.43310599999995</v>
      </c>
      <c r="E56" s="1">
        <v>1.2757700000000001</v>
      </c>
      <c r="F56" s="1">
        <v>213923.4</v>
      </c>
      <c r="G56" s="1">
        <v>1.196474E-14</v>
      </c>
      <c r="H56" s="1">
        <v>1694800000000</v>
      </c>
      <c r="I56" s="1">
        <v>8418786</v>
      </c>
      <c r="J56" s="1">
        <v>2.3584859999999999E-5</v>
      </c>
      <c r="K56" s="1">
        <v>5.0313099999999998E-4</v>
      </c>
      <c r="L56" s="1">
        <v>921225200000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15897.87</v>
      </c>
      <c r="Y56" s="1">
        <v>266433700000</v>
      </c>
      <c r="Z56" s="1">
        <v>16189.27</v>
      </c>
      <c r="AA56" s="1">
        <v>5.3262989999999997</v>
      </c>
      <c r="AB56" s="1">
        <v>1.671119E-9</v>
      </c>
      <c r="AC56" s="1">
        <v>5.0282139999999996E-3</v>
      </c>
      <c r="AD56" s="1">
        <v>1.9355329999999999E-19</v>
      </c>
      <c r="AE56" s="1">
        <v>2.614122E-13</v>
      </c>
      <c r="AF56" s="1">
        <v>1.8931370000000001</v>
      </c>
      <c r="AG56" s="1">
        <v>1.2539950000000001E-9</v>
      </c>
      <c r="AH56" s="1">
        <v>1.524455E-5</v>
      </c>
      <c r="AI56" s="1">
        <v>8.2396090000000001E-8</v>
      </c>
      <c r="AJ56" s="1">
        <v>5.4443640000000004E-7</v>
      </c>
      <c r="AK56" s="1">
        <v>1.6529309999999999E-7</v>
      </c>
      <c r="AL56" s="1">
        <v>6.6521370000000004E-7</v>
      </c>
      <c r="AM56" s="1">
        <v>1.4088149999999999E-7</v>
      </c>
      <c r="AN56" s="1">
        <v>2.2334699999999999E-6</v>
      </c>
      <c r="AO56" s="1">
        <v>2.78796E-14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9066766000</v>
      </c>
      <c r="BF56" s="1">
        <v>92831690000000</v>
      </c>
      <c r="BG56" s="1">
        <v>1343.8030000000001</v>
      </c>
      <c r="BH56" s="1">
        <v>0</v>
      </c>
      <c r="BI56" s="1">
        <v>1.691751E-7</v>
      </c>
      <c r="BJ56" s="1">
        <v>0</v>
      </c>
      <c r="BK56" s="1">
        <v>2.7493219999999998</v>
      </c>
      <c r="BL56" s="1">
        <v>18.809460000000001</v>
      </c>
      <c r="BM56" s="1">
        <v>5332.6030000000001</v>
      </c>
      <c r="BN56" s="1">
        <v>7628.1970000000001</v>
      </c>
      <c r="BO56" s="1">
        <v>2.2427340000000001E-4</v>
      </c>
      <c r="BP56" s="1">
        <v>1.4452129999999999E-9</v>
      </c>
      <c r="BQ56" s="1">
        <v>2.9340400000000002E-3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6.522828E-22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3.0114289999999998E-2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N56" s="1">
        <f t="shared" si="0"/>
        <v>95723224345129.969</v>
      </c>
      <c r="DP56" s="1">
        <f t="shared" si="1"/>
        <v>1.7705212205236638E-2</v>
      </c>
      <c r="DQ56" s="1">
        <f t="shared" si="2"/>
        <v>0.96979276069196596</v>
      </c>
      <c r="DR56" s="1">
        <f t="shared" si="3"/>
        <v>1.6912583242734915E-10</v>
      </c>
      <c r="DS56" s="1">
        <f t="shared" si="4"/>
        <v>2.7833757358545885E-3</v>
      </c>
      <c r="DT56" s="1">
        <f t="shared" si="5"/>
        <v>9.471856032878486E-5</v>
      </c>
    </row>
    <row r="57" spans="1:124" x14ac:dyDescent="0.2">
      <c r="A57">
        <v>15677.757989</v>
      </c>
      <c r="B57">
        <v>15533.925347</v>
      </c>
      <c r="C57">
        <v>15821.590630999999</v>
      </c>
      <c r="D57">
        <v>829.58871699999997</v>
      </c>
      <c r="E57" s="1">
        <v>0.81481590000000004</v>
      </c>
      <c r="F57" s="1">
        <v>475465.1</v>
      </c>
      <c r="G57" s="1">
        <v>3.2451389999999999E-14</v>
      </c>
      <c r="H57" s="1">
        <v>2043217000000</v>
      </c>
      <c r="I57" s="1">
        <v>9826738</v>
      </c>
      <c r="J57" s="1">
        <v>3.3035240000000001E-5</v>
      </c>
      <c r="K57" s="1">
        <v>3.7099430000000003E-4</v>
      </c>
      <c r="L57" s="1">
        <v>590896100000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4247.7209999999995</v>
      </c>
      <c r="Y57" s="1">
        <v>170757100000</v>
      </c>
      <c r="Z57" s="1">
        <v>407.44240000000002</v>
      </c>
      <c r="AA57" s="1">
        <v>2.1798959999999998</v>
      </c>
      <c r="AB57" s="1">
        <v>1.2656239999999999E-10</v>
      </c>
      <c r="AC57" s="1">
        <v>3.475881E-4</v>
      </c>
      <c r="AD57" s="1">
        <v>1.315247E-20</v>
      </c>
      <c r="AE57" s="1">
        <v>6.3587580000000004E-14</v>
      </c>
      <c r="AF57" s="1">
        <v>0.22157099999999999</v>
      </c>
      <c r="AG57" s="1">
        <v>5.521687E-11</v>
      </c>
      <c r="AH57" s="1">
        <v>5.9968659999999997E-8</v>
      </c>
      <c r="AI57" s="1">
        <v>4.2839700000000001E-10</v>
      </c>
      <c r="AJ57" s="1">
        <v>7.0169500000000003E-10</v>
      </c>
      <c r="AK57" s="1">
        <v>1.2565499999999999E-8</v>
      </c>
      <c r="AL57" s="1">
        <v>3.2349170000000002E-8</v>
      </c>
      <c r="AM57" s="1">
        <v>8.6758749999999993E-9</v>
      </c>
      <c r="AN57" s="1">
        <v>9.8476009999999998E-8</v>
      </c>
      <c r="AO57" s="1">
        <v>1.5480560000000001E-15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6016497000</v>
      </c>
      <c r="BF57" s="1">
        <v>59078610000000</v>
      </c>
      <c r="BG57" s="1">
        <v>3028.9690000000001</v>
      </c>
      <c r="BH57" s="1">
        <v>0</v>
      </c>
      <c r="BI57" s="1">
        <v>3.3136919999999999E-7</v>
      </c>
      <c r="BJ57" s="1">
        <v>0</v>
      </c>
      <c r="BK57" s="1">
        <v>0.36134339999999998</v>
      </c>
      <c r="BL57" s="1">
        <v>1.301161</v>
      </c>
      <c r="BM57" s="1">
        <v>253.0401</v>
      </c>
      <c r="BN57" s="1">
        <v>6147.5420000000004</v>
      </c>
      <c r="BO57" s="1">
        <v>1.5321069999999999E-5</v>
      </c>
      <c r="BP57" s="1">
        <v>9.4240509999999999E-11</v>
      </c>
      <c r="BQ57" s="1">
        <v>4.8688220000000002E-4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4.7593829999999998E-23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2.5428429999999999E-3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N57" s="1">
        <f t="shared" si="0"/>
        <v>61889507013291.875</v>
      </c>
      <c r="DP57" s="1">
        <f t="shared" si="1"/>
        <v>3.3013948544802316E-2</v>
      </c>
      <c r="DQ57" s="1">
        <f t="shared" si="2"/>
        <v>0.95458200995706455</v>
      </c>
      <c r="DR57" s="1">
        <f t="shared" si="3"/>
        <v>6.5833841577134311E-12</v>
      </c>
      <c r="DS57" s="1">
        <f t="shared" si="4"/>
        <v>2.7590638258489742E-3</v>
      </c>
      <c r="DT57" s="1">
        <f t="shared" si="5"/>
        <v>9.7213522781945086E-5</v>
      </c>
    </row>
    <row r="58" spans="1:124" x14ac:dyDescent="0.2">
      <c r="A58">
        <v>15965.423273</v>
      </c>
      <c r="B58">
        <v>15821.590630999999</v>
      </c>
      <c r="C58">
        <v>16109.255915</v>
      </c>
      <c r="D58">
        <v>827.72514699999999</v>
      </c>
      <c r="E58" s="1">
        <v>0.51959029999999995</v>
      </c>
      <c r="F58" s="1">
        <v>1182046</v>
      </c>
      <c r="G58" s="1">
        <v>1.057983E-13</v>
      </c>
      <c r="H58" s="1">
        <v>2552894000000</v>
      </c>
      <c r="I58" s="1">
        <v>12256460</v>
      </c>
      <c r="J58" s="1">
        <v>5.2698239999999999E-5</v>
      </c>
      <c r="K58" s="1">
        <v>2.9792829999999998E-4</v>
      </c>
      <c r="L58" s="1">
        <v>377525900000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932.25360000000001</v>
      </c>
      <c r="Y58" s="1">
        <v>109016200000</v>
      </c>
      <c r="Z58" s="1">
        <v>8.1547590000000003</v>
      </c>
      <c r="AA58" s="1">
        <v>0.87800230000000001</v>
      </c>
      <c r="AB58" s="1">
        <v>7.6910739999999993E-12</v>
      </c>
      <c r="AC58" s="1">
        <v>1.8820120000000001E-5</v>
      </c>
      <c r="AD58" s="1">
        <v>7.1630149999999997E-22</v>
      </c>
      <c r="AE58" s="1">
        <v>1.0508380000000001E-14</v>
      </c>
      <c r="AF58" s="1">
        <v>1.527972E-2</v>
      </c>
      <c r="AG58" s="1">
        <v>3.6909620000000002E-12</v>
      </c>
      <c r="AH58" s="1">
        <v>1.639809E-9</v>
      </c>
      <c r="AI58" s="1">
        <v>1.522638E-11</v>
      </c>
      <c r="AJ58" s="1">
        <v>6.1263110000000001E-13</v>
      </c>
      <c r="AK58" s="1">
        <v>7.4870980000000003E-10</v>
      </c>
      <c r="AL58" s="1">
        <v>1.313128E-9</v>
      </c>
      <c r="AM58" s="1">
        <v>3.9626870000000002E-10</v>
      </c>
      <c r="AN58" s="1">
        <v>3.3695019999999998E-9</v>
      </c>
      <c r="AO58" s="1">
        <v>6.7608230000000001E-17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3962257000</v>
      </c>
      <c r="BF58" s="1">
        <v>37125910000000</v>
      </c>
      <c r="BG58" s="1">
        <v>7689.174</v>
      </c>
      <c r="BH58" s="1">
        <v>0</v>
      </c>
      <c r="BI58" s="1">
        <v>7.7455600000000002E-7</v>
      </c>
      <c r="BJ58" s="1">
        <v>0</v>
      </c>
      <c r="BK58" s="1">
        <v>3.8469839999999998E-2</v>
      </c>
      <c r="BL58" s="1">
        <v>6.9815169999999996E-2</v>
      </c>
      <c r="BM58" s="1">
        <v>10.038069999999999</v>
      </c>
      <c r="BN58" s="1">
        <v>5005.57</v>
      </c>
      <c r="BO58" s="1">
        <v>8.245582E-7</v>
      </c>
      <c r="BP58" s="1">
        <v>4.5749109999999997E-12</v>
      </c>
      <c r="BQ58" s="1">
        <v>4.4248620000000003E-5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3.155583E-24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1.9205049999999999E-4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N58" s="1">
        <f t="shared" si="0"/>
        <v>40169321809152.195</v>
      </c>
      <c r="DP58" s="1">
        <f t="shared" si="1"/>
        <v>6.3553325897036869E-2</v>
      </c>
      <c r="DQ58" s="1">
        <f t="shared" si="2"/>
        <v>0.92423541966648826</v>
      </c>
      <c r="DR58" s="1">
        <f t="shared" si="3"/>
        <v>2.0300962607095887E-13</v>
      </c>
      <c r="DS58" s="1">
        <f t="shared" si="4"/>
        <v>2.71391686715412E-3</v>
      </c>
      <c r="DT58" s="1">
        <f t="shared" si="5"/>
        <v>9.8638882150538015E-5</v>
      </c>
    </row>
    <row r="59" spans="1:124" x14ac:dyDescent="0.2">
      <c r="A59">
        <v>16253.088556999999</v>
      </c>
      <c r="B59">
        <v>16109.255915</v>
      </c>
      <c r="C59">
        <v>16396.921199</v>
      </c>
      <c r="D59">
        <v>829.04970100000003</v>
      </c>
      <c r="E59" s="1">
        <v>0.33126840000000002</v>
      </c>
      <c r="F59" s="1">
        <v>3590278</v>
      </c>
      <c r="G59" s="1">
        <v>4.8564899999999998E-13</v>
      </c>
      <c r="H59" s="1">
        <v>3390554000000</v>
      </c>
      <c r="I59" s="1">
        <v>17200470</v>
      </c>
      <c r="J59" s="1">
        <v>1.04625E-4</v>
      </c>
      <c r="K59" s="1">
        <v>2.8034160000000002E-4</v>
      </c>
      <c r="L59" s="1">
        <v>240218200000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200.92609999999999</v>
      </c>
      <c r="Y59" s="1">
        <v>69313760000</v>
      </c>
      <c r="Z59" s="1">
        <v>0.14128750000000001</v>
      </c>
      <c r="AA59" s="1">
        <v>0.34264549999999999</v>
      </c>
      <c r="AB59" s="1">
        <v>5.9218390000000004E-13</v>
      </c>
      <c r="AC59" s="1">
        <v>9.1501240000000001E-7</v>
      </c>
      <c r="AD59" s="1">
        <v>3.6718959999999998E-23</v>
      </c>
      <c r="AE59" s="1">
        <v>8.64727E-16</v>
      </c>
      <c r="AF59" s="1">
        <v>4.5689109999999999E-4</v>
      </c>
      <c r="AG59" s="1">
        <v>1.099816E-13</v>
      </c>
      <c r="AH59" s="1">
        <v>3.7820479999999998E-11</v>
      </c>
      <c r="AI59" s="1">
        <v>4.45893E-13</v>
      </c>
      <c r="AJ59" s="1">
        <v>8.4563100000000001E-16</v>
      </c>
      <c r="AK59" s="1">
        <v>3.2704380000000002E-11</v>
      </c>
      <c r="AL59" s="1">
        <v>4.1643980000000001E-11</v>
      </c>
      <c r="AM59" s="1">
        <v>1.3352420000000001E-11</v>
      </c>
      <c r="AN59" s="1">
        <v>9.7579879999999996E-11</v>
      </c>
      <c r="AO59" s="1">
        <v>2.5612339999999999E-18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2601344000</v>
      </c>
      <c r="BF59" s="1">
        <v>22740810000000</v>
      </c>
      <c r="BG59" s="1">
        <v>24285.03</v>
      </c>
      <c r="BH59" s="1">
        <v>0</v>
      </c>
      <c r="BI59" s="1">
        <v>2.458313E-6</v>
      </c>
      <c r="BJ59" s="1">
        <v>0</v>
      </c>
      <c r="BK59" s="1">
        <v>3.8960190000000001E-3</v>
      </c>
      <c r="BL59" s="1">
        <v>3.2963530000000001E-3</v>
      </c>
      <c r="BM59" s="1">
        <v>0.37680520000000001</v>
      </c>
      <c r="BN59" s="1">
        <v>4165.2129999999997</v>
      </c>
      <c r="BO59" s="1">
        <v>4.0313079999999997E-8</v>
      </c>
      <c r="BP59" s="1">
        <v>2.4668070000000002E-13</v>
      </c>
      <c r="BQ59" s="1">
        <v>1.63576E-6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2.331349E-25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1.5536629999999998E-5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N59" s="1">
        <f t="shared" si="0"/>
        <v>26443518123400.039</v>
      </c>
      <c r="DP59" s="1">
        <f t="shared" si="1"/>
        <v>0.1282187182574499</v>
      </c>
      <c r="DQ59" s="1">
        <f t="shared" si="2"/>
        <v>0.85997672071767606</v>
      </c>
      <c r="DR59" s="1">
        <f t="shared" si="3"/>
        <v>5.3429917812249725E-15</v>
      </c>
      <c r="DS59" s="1">
        <f t="shared" si="4"/>
        <v>2.6212003893182354E-3</v>
      </c>
      <c r="DT59" s="1">
        <f t="shared" si="5"/>
        <v>9.83735971840318E-5</v>
      </c>
    </row>
    <row r="60" spans="1:124" x14ac:dyDescent="0.2">
      <c r="A60">
        <v>16540.753841999998</v>
      </c>
      <c r="B60">
        <v>16396.921199</v>
      </c>
      <c r="C60">
        <v>16684.586483999999</v>
      </c>
      <c r="D60">
        <v>834.92594899999995</v>
      </c>
      <c r="E60" s="1">
        <v>0.21160670000000001</v>
      </c>
      <c r="F60" s="1">
        <v>14853050</v>
      </c>
      <c r="G60" s="1">
        <v>3.9886420000000002E-12</v>
      </c>
      <c r="H60" s="1">
        <v>4834838000000</v>
      </c>
      <c r="I60" s="1">
        <v>28916850</v>
      </c>
      <c r="J60" s="1">
        <v>2.97058E-4</v>
      </c>
      <c r="K60" s="1">
        <v>3.4524399999999998E-4</v>
      </c>
      <c r="L60" s="1">
        <v>152232600000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26.01144</v>
      </c>
      <c r="Y60" s="1">
        <v>43861840000</v>
      </c>
      <c r="Z60" s="1">
        <v>1.1472570000000001E-3</v>
      </c>
      <c r="AA60" s="1">
        <v>0.12456399999999999</v>
      </c>
      <c r="AB60" s="1">
        <v>3.9257529999999998E-14</v>
      </c>
      <c r="AC60" s="1">
        <v>2.3621889999999999E-8</v>
      </c>
      <c r="AD60" s="1">
        <v>1.1008500000000001E-24</v>
      </c>
      <c r="AE60" s="1">
        <v>2.456145E-17</v>
      </c>
      <c r="AF60" s="1">
        <v>3.824463E-6</v>
      </c>
      <c r="AG60" s="1">
        <v>9.1726069999999991E-16</v>
      </c>
      <c r="AH60" s="1">
        <v>2.6091660000000002E-13</v>
      </c>
      <c r="AI60" s="1">
        <v>3.7284379999999999E-15</v>
      </c>
      <c r="AJ60" s="1">
        <v>2.3386129999999998E-18</v>
      </c>
      <c r="AK60" s="1">
        <v>6.1552629999999999E-13</v>
      </c>
      <c r="AL60" s="1">
        <v>5.5522420000000003E-13</v>
      </c>
      <c r="AM60" s="1">
        <v>1.8705969999999999E-13</v>
      </c>
      <c r="AN60" s="1">
        <v>1.288649E-12</v>
      </c>
      <c r="AO60" s="1">
        <v>4.5123609999999997E-20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1752585000</v>
      </c>
      <c r="BF60" s="1">
        <v>13073570000000</v>
      </c>
      <c r="BG60" s="1">
        <v>110366</v>
      </c>
      <c r="BH60" s="1">
        <v>0</v>
      </c>
      <c r="BI60" s="1">
        <v>1.23369E-5</v>
      </c>
      <c r="BJ60" s="1">
        <v>0</v>
      </c>
      <c r="BK60" s="1">
        <v>2.2365920000000001E-4</v>
      </c>
      <c r="BL60" s="1">
        <v>7.8241070000000003E-5</v>
      </c>
      <c r="BM60" s="1">
        <v>7.6030380000000003E-3</v>
      </c>
      <c r="BN60" s="1">
        <v>3523.9679999999998</v>
      </c>
      <c r="BO60" s="1">
        <v>1.064533E-9</v>
      </c>
      <c r="BP60" s="1">
        <v>9.5831229999999997E-15</v>
      </c>
      <c r="BQ60" s="1">
        <v>1.62284E-8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1.2365590000000001E-26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8.1756779999999999E-7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N60" s="1">
        <f t="shared" si="0"/>
        <v>18106298908816.113</v>
      </c>
      <c r="DP60" s="1">
        <f t="shared" si="1"/>
        <v>0.26702519517370144</v>
      </c>
      <c r="DQ60" s="1">
        <f t="shared" si="2"/>
        <v>0.72204540893966829</v>
      </c>
      <c r="DR60" s="1">
        <f t="shared" si="3"/>
        <v>6.3362314174620786E-17</v>
      </c>
      <c r="DS60" s="1">
        <f t="shared" si="4"/>
        <v>2.4224630456444796E-3</v>
      </c>
      <c r="DT60" s="1">
        <f t="shared" si="5"/>
        <v>9.6794215583542102E-5</v>
      </c>
    </row>
    <row r="61" spans="1:124" x14ac:dyDescent="0.2">
      <c r="A61">
        <v>16828.419126000001</v>
      </c>
      <c r="B61">
        <v>16684.586483999999</v>
      </c>
      <c r="C61">
        <v>16972.251767999998</v>
      </c>
      <c r="D61">
        <v>850.27494300000001</v>
      </c>
      <c r="E61" s="1">
        <v>0.1358866</v>
      </c>
      <c r="F61" s="1">
        <v>109646700</v>
      </c>
      <c r="G61" s="1">
        <v>1.1537079999999999E-10</v>
      </c>
      <c r="H61" s="1">
        <v>7226846000000</v>
      </c>
      <c r="I61" s="1">
        <v>68511630</v>
      </c>
      <c r="J61" s="1">
        <v>1.780954E-3</v>
      </c>
      <c r="K61" s="1">
        <v>7.7316699999999995E-4</v>
      </c>
      <c r="L61" s="1">
        <v>95605390000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0.57773479999999999</v>
      </c>
      <c r="Y61" s="1">
        <v>27422230000</v>
      </c>
      <c r="Z61" s="1">
        <v>9.3995660000000001E-7</v>
      </c>
      <c r="AA61" s="1">
        <v>3.6400500000000002E-2</v>
      </c>
      <c r="AB61" s="1">
        <v>3.4291390000000001E-15</v>
      </c>
      <c r="AC61" s="1">
        <v>9.1674920000000002E-11</v>
      </c>
      <c r="AD61" s="1">
        <v>6.5051620000000003E-27</v>
      </c>
      <c r="AE61" s="1">
        <v>1.59141E-19</v>
      </c>
      <c r="AF61" s="1">
        <v>4.462969E-9</v>
      </c>
      <c r="AG61" s="1">
        <v>1.065508E-18</v>
      </c>
      <c r="AH61" s="1">
        <v>2.9886730000000001E-16</v>
      </c>
      <c r="AI61" s="1">
        <v>4.331007E-18</v>
      </c>
      <c r="AJ61" s="1">
        <v>1.460775E-21</v>
      </c>
      <c r="AK61" s="1">
        <v>2.2915109999999999E-15</v>
      </c>
      <c r="AL61" s="1">
        <v>6.7363769999999996E-16</v>
      </c>
      <c r="AM61" s="1">
        <v>2.401898E-16</v>
      </c>
      <c r="AN61" s="1">
        <v>1.4653769999999999E-15</v>
      </c>
      <c r="AO61" s="1">
        <v>6.4759700000000004E-23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1341006000</v>
      </c>
      <c r="BF61" s="1">
        <v>6146785000000</v>
      </c>
      <c r="BG61" s="1">
        <v>1079409</v>
      </c>
      <c r="BH61" s="1">
        <v>0</v>
      </c>
      <c r="BI61" s="1">
        <v>4.7461500000000002E-3</v>
      </c>
      <c r="BJ61" s="1">
        <v>0</v>
      </c>
      <c r="BK61" s="1">
        <v>2.0006209999999999E-6</v>
      </c>
      <c r="BL61" s="1">
        <v>2.3279119999999999E-7</v>
      </c>
      <c r="BM61" s="1">
        <v>1.9904190000000001E-5</v>
      </c>
      <c r="BN61" s="1">
        <v>2795.7469999999998</v>
      </c>
      <c r="BO61" s="1">
        <v>4.374465E-12</v>
      </c>
      <c r="BP61" s="1">
        <v>7.6498180000000003E-16</v>
      </c>
      <c r="BQ61" s="1">
        <v>2.2889060000000001E-11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1.5891249999999999E-28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7.9738490000000006E-9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N61" s="1">
        <f t="shared" si="0"/>
        <v>13498178866535.367</v>
      </c>
      <c r="DP61" s="1">
        <f t="shared" si="1"/>
        <v>0.53539414994097967</v>
      </c>
      <c r="DQ61" s="1">
        <f t="shared" si="2"/>
        <v>0.45537883745481295</v>
      </c>
      <c r="DR61" s="1">
        <f t="shared" si="3"/>
        <v>6.9635808600102104E-20</v>
      </c>
      <c r="DS61" s="1">
        <f t="shared" si="4"/>
        <v>2.0315503499501765E-3</v>
      </c>
      <c r="DT61" s="1">
        <f t="shared" si="5"/>
        <v>9.9347179590619959E-5</v>
      </c>
    </row>
    <row r="62" spans="1:124" x14ac:dyDescent="0.2">
      <c r="A62">
        <v>17116.084409999999</v>
      </c>
      <c r="B62">
        <v>16972.251767999998</v>
      </c>
      <c r="C62">
        <v>17259.917052000001</v>
      </c>
      <c r="D62">
        <v>864.88635199999999</v>
      </c>
      <c r="E62" s="1">
        <v>8.7980619999999995E-2</v>
      </c>
      <c r="F62" s="1">
        <v>4003637000</v>
      </c>
      <c r="G62" s="1">
        <v>2.057422E-7</v>
      </c>
      <c r="H62" s="1">
        <v>10081520000000</v>
      </c>
      <c r="I62" s="1">
        <v>347522300</v>
      </c>
      <c r="J62" s="1">
        <v>0.12412380000000001</v>
      </c>
      <c r="K62" s="1">
        <v>8.6170789999999997E-3</v>
      </c>
      <c r="L62" s="1">
        <v>54988910000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5.2487560000000003E-2</v>
      </c>
      <c r="Y62" s="1">
        <v>16068150000</v>
      </c>
      <c r="Z62" s="1">
        <v>1.742347E-10</v>
      </c>
      <c r="AA62" s="1">
        <v>4.2406140000000002E-3</v>
      </c>
      <c r="AB62" s="1">
        <v>1.051886E-15</v>
      </c>
      <c r="AC62" s="1">
        <v>6.1381629999999999E-13</v>
      </c>
      <c r="AD62" s="1">
        <v>1.526623E-28</v>
      </c>
      <c r="AE62" s="1">
        <v>6.339892E-23</v>
      </c>
      <c r="AF62" s="1">
        <v>1.4015790000000001E-13</v>
      </c>
      <c r="AG62" s="1">
        <v>3.3129970000000001E-23</v>
      </c>
      <c r="AH62" s="1">
        <v>9.4412779999999993E-21</v>
      </c>
      <c r="AI62" s="1">
        <v>1.339015E-22</v>
      </c>
      <c r="AJ62" s="1">
        <v>2.4221400000000001E-26</v>
      </c>
      <c r="AK62" s="1">
        <v>4.3865180000000002E-18</v>
      </c>
      <c r="AL62" s="1">
        <v>3.202828E-19</v>
      </c>
      <c r="AM62" s="1">
        <v>1.223403E-19</v>
      </c>
      <c r="AN62" s="1">
        <v>7.6967859999999997E-19</v>
      </c>
      <c r="AO62" s="1">
        <v>4.0642019999999999E-26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2240177000</v>
      </c>
      <c r="BF62" s="1">
        <v>1169289000000</v>
      </c>
      <c r="BG62" s="1">
        <v>121335300</v>
      </c>
      <c r="BH62" s="1">
        <v>0</v>
      </c>
      <c r="BI62" s="1">
        <v>7.4731129999999997</v>
      </c>
      <c r="BJ62" s="1">
        <v>0</v>
      </c>
      <c r="BK62" s="1">
        <v>3.111424E-8</v>
      </c>
      <c r="BL62" s="1">
        <v>5.7758579999999997E-10</v>
      </c>
      <c r="BM62" s="1">
        <v>2.5827639999999999E-8</v>
      </c>
      <c r="BN62" s="1">
        <v>1966.5889999999999</v>
      </c>
      <c r="BO62" s="1">
        <v>3.0869399999999999E-14</v>
      </c>
      <c r="BP62" s="1">
        <v>7.0159390000000003E-15</v>
      </c>
      <c r="BQ62" s="1">
        <v>8.3483829999999998E-16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1.2273260000000001E-29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8.8301220000000001E-11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N62" s="1">
        <f t="shared" si="0"/>
        <v>11328578733574.252</v>
      </c>
      <c r="DP62" s="1">
        <f t="shared" si="1"/>
        <v>0.88991922438793025</v>
      </c>
      <c r="DQ62" s="1">
        <f t="shared" si="2"/>
        <v>0.10321586030334103</v>
      </c>
      <c r="DR62" s="1">
        <f t="shared" si="3"/>
        <v>1.5380102314478741E-23</v>
      </c>
      <c r="DS62" s="1">
        <f t="shared" si="4"/>
        <v>1.4183729819857444E-3</v>
      </c>
      <c r="DT62" s="1">
        <f t="shared" si="5"/>
        <v>1.97745635413279E-4</v>
      </c>
    </row>
    <row r="63" spans="1:124" x14ac:dyDescent="0.2">
      <c r="A63">
        <v>17403.749693999998</v>
      </c>
      <c r="B63">
        <v>17259.917052000001</v>
      </c>
      <c r="C63">
        <v>17547.582335999999</v>
      </c>
      <c r="D63">
        <v>868.38458600000001</v>
      </c>
      <c r="E63" s="1">
        <v>5.7246709999999999E-2</v>
      </c>
      <c r="F63" s="1">
        <v>29002770000</v>
      </c>
      <c r="G63" s="1">
        <v>1.1197790000000001E-5</v>
      </c>
      <c r="H63" s="1">
        <v>7843338000000</v>
      </c>
      <c r="I63" s="1">
        <v>354539600</v>
      </c>
      <c r="J63" s="1">
        <v>0.72933159999999997</v>
      </c>
      <c r="K63" s="1">
        <v>7.3778519999999998E-3</v>
      </c>
      <c r="L63" s="1">
        <v>6743797000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157.26220000000001</v>
      </c>
      <c r="Y63" s="1">
        <v>10118300000</v>
      </c>
      <c r="Z63" s="1">
        <v>2.7305020000000002E-10</v>
      </c>
      <c r="AA63" s="1">
        <v>3.6419330000000001E-4</v>
      </c>
      <c r="AB63" s="1">
        <v>4.8501349999999997E-15</v>
      </c>
      <c r="AC63" s="1">
        <v>4.2323950000000001E-11</v>
      </c>
      <c r="AD63" s="1">
        <v>1.3673780000000001E-26</v>
      </c>
      <c r="AE63" s="1">
        <v>1.9009790000000001E-16</v>
      </c>
      <c r="AF63" s="1">
        <v>4.2557980000000002E-12</v>
      </c>
      <c r="AG63" s="1">
        <v>9.9674509999999996E-22</v>
      </c>
      <c r="AH63" s="1">
        <v>3.7562210000000002E-19</v>
      </c>
      <c r="AI63" s="1">
        <v>3.8677929999999999E-21</v>
      </c>
      <c r="AJ63" s="1">
        <v>4.3368289999999998E-25</v>
      </c>
      <c r="AK63" s="1">
        <v>1.0744010000000001E-15</v>
      </c>
      <c r="AL63" s="1">
        <v>2.2836910000000002E-18</v>
      </c>
      <c r="AM63" s="1">
        <v>8.1435820000000003E-19</v>
      </c>
      <c r="AN63" s="1">
        <v>2.9306159999999999E-18</v>
      </c>
      <c r="AO63" s="1">
        <v>1.162498E-25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1746459000</v>
      </c>
      <c r="BF63" s="1">
        <v>127549500000</v>
      </c>
      <c r="BG63" s="1">
        <v>1108479000</v>
      </c>
      <c r="BH63" s="1">
        <v>0</v>
      </c>
      <c r="BI63" s="1">
        <v>2702.5120000000002</v>
      </c>
      <c r="BJ63" s="1">
        <v>0</v>
      </c>
      <c r="BK63" s="1">
        <v>1.376714E-5</v>
      </c>
      <c r="BL63" s="1">
        <v>5.6571890000000003E-8</v>
      </c>
      <c r="BM63" s="1">
        <v>2.3176740000000001E-7</v>
      </c>
      <c r="BN63" s="1">
        <v>930.28489999999999</v>
      </c>
      <c r="BO63" s="1">
        <v>2.1553879999999998E-12</v>
      </c>
      <c r="BP63" s="1">
        <v>7.3238019999999993E-15</v>
      </c>
      <c r="BQ63" s="1">
        <v>2.636894E-14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1.180855E-27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5.8716269999999998E-9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N63" s="1">
        <f t="shared" si="0"/>
        <v>8019961848390.7959</v>
      </c>
      <c r="DP63" s="1">
        <f t="shared" ref="DP63:DP72" si="6">H63/DN63</f>
        <v>0.9779769714956642</v>
      </c>
      <c r="DQ63" s="1">
        <f t="shared" si="2"/>
        <v>1.5904003337072332E-2</v>
      </c>
      <c r="DR63" s="1">
        <f t="shared" si="3"/>
        <v>3.4046321561341027E-23</v>
      </c>
      <c r="DS63" s="1">
        <f t="shared" si="4"/>
        <v>1.2616394181513763E-3</v>
      </c>
      <c r="DT63" s="1">
        <f t="shared" si="5"/>
        <v>2.1776400349715215E-4</v>
      </c>
    </row>
    <row r="64" spans="1:124" x14ac:dyDescent="0.2">
      <c r="A64">
        <v>17691.414978000001</v>
      </c>
      <c r="B64">
        <v>17547.582335999999</v>
      </c>
      <c r="C64">
        <v>17835.247619999998</v>
      </c>
      <c r="D64">
        <v>868.38458600000001</v>
      </c>
      <c r="E64" s="1">
        <v>3.7266710000000002E-2</v>
      </c>
      <c r="F64" s="1">
        <v>23624410000</v>
      </c>
      <c r="G64" s="1">
        <v>3.7429019999999998E-6</v>
      </c>
      <c r="H64" s="1">
        <v>5204218000000</v>
      </c>
      <c r="I64" s="1">
        <v>121117100</v>
      </c>
      <c r="J64" s="1">
        <v>0.19910149999999999</v>
      </c>
      <c r="K64" s="1">
        <v>8.4447169999999998E-4</v>
      </c>
      <c r="L64" s="1">
        <v>782978700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422009.59999999998</v>
      </c>
      <c r="Y64" s="1">
        <v>7099202000</v>
      </c>
      <c r="Z64" s="1">
        <v>2.111481E-8</v>
      </c>
      <c r="AA64" s="1">
        <v>8.4565070000000006E-5</v>
      </c>
      <c r="AB64" s="1">
        <v>1.9084909999999998E-12</v>
      </c>
      <c r="AC64" s="1">
        <v>8.3292980000000004E-9</v>
      </c>
      <c r="AD64" s="1">
        <v>1.382813E-24</v>
      </c>
      <c r="AE64" s="1">
        <v>3.0195010000000001E-9</v>
      </c>
      <c r="AF64" s="1">
        <v>6.2367440000000005E-7</v>
      </c>
      <c r="AG64" s="1">
        <v>1.440582E-16</v>
      </c>
      <c r="AH64" s="1">
        <v>7.3925890000000002E-14</v>
      </c>
      <c r="AI64" s="1">
        <v>5.1154550000000002E-16</v>
      </c>
      <c r="AJ64" s="1">
        <v>3.9115530000000001E-20</v>
      </c>
      <c r="AK64" s="1">
        <v>6.2369220000000002E-11</v>
      </c>
      <c r="AL64" s="1">
        <v>2.9133499999999999E-14</v>
      </c>
      <c r="AM64" s="1">
        <v>9.0477339999999993E-15</v>
      </c>
      <c r="AN64" s="1">
        <v>2.2484069999999999E-16</v>
      </c>
      <c r="AO64" s="1">
        <v>2.1228459999999999E-23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624150200</v>
      </c>
      <c r="BF64" s="1">
        <v>35497900000</v>
      </c>
      <c r="BG64" s="1">
        <v>464561000</v>
      </c>
      <c r="BH64" s="1">
        <v>0</v>
      </c>
      <c r="BI64" s="1">
        <v>11790.31</v>
      </c>
      <c r="BJ64" s="1">
        <v>0</v>
      </c>
      <c r="BK64" s="1">
        <v>1.548712E-2</v>
      </c>
      <c r="BL64" s="1">
        <v>3.4002650000000002E-5</v>
      </c>
      <c r="BM64" s="1">
        <v>3.7359059999999997E-5</v>
      </c>
      <c r="BN64" s="1">
        <v>433.13459999999998</v>
      </c>
      <c r="BO64" s="1">
        <v>4.2420499999999998E-10</v>
      </c>
      <c r="BP64" s="1">
        <v>5.0934769999999998E-15</v>
      </c>
      <c r="BQ64" s="1">
        <v>3.8946210000000003E-9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5.2459789999999999E-25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2.2571930000000002E-6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N64" s="1">
        <f t="shared" si="0"/>
        <v>5272432753233.2598</v>
      </c>
      <c r="DP64" s="1">
        <f t="shared" si="6"/>
        <v>0.98706199653444082</v>
      </c>
      <c r="DQ64" s="1">
        <f t="shared" si="2"/>
        <v>6.7327364162646387E-3</v>
      </c>
      <c r="DR64" s="1">
        <f t="shared" si="3"/>
        <v>4.0047566253076591E-21</v>
      </c>
      <c r="DS64" s="1">
        <f t="shared" si="4"/>
        <v>1.3464755895931523E-3</v>
      </c>
      <c r="DT64" s="1">
        <f t="shared" si="5"/>
        <v>1.1837992615785321E-4</v>
      </c>
    </row>
    <row r="65" spans="1:124" x14ac:dyDescent="0.2">
      <c r="A65">
        <v>17979.080261999999</v>
      </c>
      <c r="B65">
        <v>17835.247619999998</v>
      </c>
      <c r="C65">
        <v>18122.912905000001</v>
      </c>
      <c r="D65">
        <v>868.38458600000001</v>
      </c>
      <c r="E65" s="1">
        <v>2.426004E-2</v>
      </c>
      <c r="F65" s="1">
        <v>18259990000</v>
      </c>
      <c r="G65" s="1">
        <v>2.0860170000000001E-8</v>
      </c>
      <c r="H65" s="1">
        <v>3430854000000</v>
      </c>
      <c r="I65" s="1">
        <v>1110598</v>
      </c>
      <c r="J65" s="1">
        <v>9.467427E-4</v>
      </c>
      <c r="K65" s="1">
        <v>7.0160119999999999E-8</v>
      </c>
      <c r="L65" s="1">
        <v>533586.6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1295507000</v>
      </c>
      <c r="Y65" s="1">
        <v>3726952000</v>
      </c>
      <c r="Z65" s="1">
        <v>1.9992559999999999E-10</v>
      </c>
      <c r="AA65" s="1">
        <v>6.921119E-6</v>
      </c>
      <c r="AB65" s="1">
        <v>3.8569790000000001E-13</v>
      </c>
      <c r="AC65" s="1">
        <v>3.7592290000000003E-10</v>
      </c>
      <c r="AD65" s="1">
        <v>8.6549730000000008E-28</v>
      </c>
      <c r="AE65" s="1">
        <v>3.008659E-2</v>
      </c>
      <c r="AF65" s="1">
        <v>3.7721619999999997E-2</v>
      </c>
      <c r="AG65" s="1">
        <v>8.4875709999999997E-12</v>
      </c>
      <c r="AH65" s="1">
        <v>5.5897390000000003E-9</v>
      </c>
      <c r="AI65" s="1">
        <v>2.572192E-11</v>
      </c>
      <c r="AJ65" s="1">
        <v>1.343741E-15</v>
      </c>
      <c r="AK65" s="1">
        <v>4.3781100000000003E-6</v>
      </c>
      <c r="AL65" s="1">
        <v>3.3073760000000001E-11</v>
      </c>
      <c r="AM65" s="1">
        <v>9.4870079999999992E-12</v>
      </c>
      <c r="AN65" s="1">
        <v>2.921159E-14</v>
      </c>
      <c r="AO65" s="1">
        <v>5.9583529999999998E-19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5596767</v>
      </c>
      <c r="BF65" s="1">
        <v>333056400</v>
      </c>
      <c r="BG65" s="1">
        <v>3402753</v>
      </c>
      <c r="BH65" s="1">
        <v>0</v>
      </c>
      <c r="BI65" s="1">
        <v>29295.81</v>
      </c>
      <c r="BJ65" s="1">
        <v>0</v>
      </c>
      <c r="BK65" s="1">
        <v>0.67628869999999996</v>
      </c>
      <c r="BL65" s="1">
        <v>6.5845789999999997E-4</v>
      </c>
      <c r="BM65" s="1">
        <v>1.4614159999999999E-6</v>
      </c>
      <c r="BN65" s="1">
        <v>149.91589999999999</v>
      </c>
      <c r="BO65" s="1">
        <v>1.9146650000000001E-11</v>
      </c>
      <c r="BP65" s="1">
        <v>1.062238E-15</v>
      </c>
      <c r="BQ65" s="1">
        <v>2.3812679999999999E-4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5.5867500000000005E-26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6.2892389999999999E-6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N65" s="1">
        <f t="shared" si="0"/>
        <v>3454480178551.0718</v>
      </c>
      <c r="DP65" s="1">
        <f t="shared" si="6"/>
        <v>0.99316071381802473</v>
      </c>
      <c r="DQ65" s="1">
        <f t="shared" si="2"/>
        <v>9.6412884945165715E-5</v>
      </c>
      <c r="DR65" s="1">
        <f t="shared" si="3"/>
        <v>5.7874293574281181E-23</v>
      </c>
      <c r="DS65" s="1">
        <f t="shared" si="4"/>
        <v>1.0788749123936824E-3</v>
      </c>
      <c r="DT65" s="1">
        <f t="shared" si="5"/>
        <v>1.6201473769484697E-6</v>
      </c>
    </row>
    <row r="66" spans="1:124" x14ac:dyDescent="0.2">
      <c r="A66">
        <v>18266.745546999999</v>
      </c>
      <c r="B66">
        <v>18122.912905000001</v>
      </c>
      <c r="C66">
        <v>18410.578189</v>
      </c>
      <c r="D66">
        <v>868.38458600000001</v>
      </c>
      <c r="E66" s="1">
        <v>1.5792899999999999E-2</v>
      </c>
      <c r="F66" s="1">
        <v>14138420000</v>
      </c>
      <c r="G66" s="1">
        <v>6.6057759999999997E-10</v>
      </c>
      <c r="H66" s="1">
        <v>2230526000000</v>
      </c>
      <c r="I66" s="1">
        <v>70847.12</v>
      </c>
      <c r="J66" s="1">
        <v>2.504571E-5</v>
      </c>
      <c r="K66" s="1">
        <v>2.8507400000000001E-10</v>
      </c>
      <c r="L66" s="1">
        <v>749.68799999999999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3086047000</v>
      </c>
      <c r="Y66" s="1">
        <v>187102000</v>
      </c>
      <c r="Z66" s="1">
        <v>7.3253639999999997E-13</v>
      </c>
      <c r="AA66" s="1">
        <v>1.388592E-7</v>
      </c>
      <c r="AB66" s="1">
        <v>0</v>
      </c>
      <c r="AC66" s="1">
        <v>1.943797E-13</v>
      </c>
      <c r="AD66" s="1">
        <v>4.3703409999999997E-32</v>
      </c>
      <c r="AE66" s="1">
        <v>0.14565500000000001</v>
      </c>
      <c r="AF66" s="1">
        <v>1.5410750000000001E-2</v>
      </c>
      <c r="AG66" s="1">
        <v>3.329547E-12</v>
      </c>
      <c r="AH66" s="1">
        <v>2.7978059999999998E-9</v>
      </c>
      <c r="AI66" s="1">
        <v>8.4202860000000004E-12</v>
      </c>
      <c r="AJ66" s="1">
        <v>2.8615610000000001E-16</v>
      </c>
      <c r="AK66" s="1">
        <v>2.130154E-6</v>
      </c>
      <c r="AL66" s="1">
        <v>5.0871399999999997E-12</v>
      </c>
      <c r="AM66" s="1">
        <v>1.089372E-12</v>
      </c>
      <c r="AN66" s="1">
        <v>7.4684210000000006E-15</v>
      </c>
      <c r="AO66" s="1">
        <v>1.509813E-19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36828.65</v>
      </c>
      <c r="BF66" s="1">
        <v>21763440</v>
      </c>
      <c r="BG66" s="1">
        <v>139662.9</v>
      </c>
      <c r="BH66" s="1">
        <v>0</v>
      </c>
      <c r="BI66" s="1">
        <v>19617.62</v>
      </c>
      <c r="BJ66" s="1">
        <v>0</v>
      </c>
      <c r="BK66" s="1">
        <v>0.16181690000000001</v>
      </c>
      <c r="BL66" s="1">
        <v>1.177164E-4</v>
      </c>
      <c r="BM66" s="1">
        <v>2.6940460000000002E-9</v>
      </c>
      <c r="BN66" s="1">
        <v>4.8932859999999998</v>
      </c>
      <c r="BO66" s="1">
        <v>9.9005360000000005E-15</v>
      </c>
      <c r="BP66" s="1">
        <v>0</v>
      </c>
      <c r="BQ66" s="1">
        <v>9.7878250000000004E-5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1.394384E-29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1.3787449999999999E-7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N66" s="1">
        <f t="shared" si="0"/>
        <v>2247959600151.1938</v>
      </c>
      <c r="DP66" s="1">
        <f t="shared" si="6"/>
        <v>0.99224470041631474</v>
      </c>
      <c r="DQ66" s="1">
        <f t="shared" si="2"/>
        <v>9.6814195408744136E-6</v>
      </c>
      <c r="DR66" s="1">
        <f t="shared" si="3"/>
        <v>3.2586724421147552E-25</v>
      </c>
      <c r="DS66" s="1">
        <f t="shared" si="4"/>
        <v>8.323192284568453E-5</v>
      </c>
      <c r="DT66" s="1">
        <f t="shared" si="5"/>
        <v>1.6383145852586927E-8</v>
      </c>
    </row>
    <row r="67" spans="1:124" x14ac:dyDescent="0.2">
      <c r="A67">
        <v>18554.410831000001</v>
      </c>
      <c r="B67">
        <v>18410.578189</v>
      </c>
      <c r="C67">
        <v>18698.243472999999</v>
      </c>
      <c r="D67">
        <v>868.38458600000001</v>
      </c>
      <c r="E67" s="1">
        <v>1.0280930000000001E-2</v>
      </c>
      <c r="F67" s="1">
        <v>9292975000</v>
      </c>
      <c r="G67" s="1">
        <v>1.57325E-10</v>
      </c>
      <c r="H67" s="1">
        <v>1448780000000</v>
      </c>
      <c r="I67" s="1">
        <v>26284.84</v>
      </c>
      <c r="J67" s="1">
        <v>5.9333020000000001E-6</v>
      </c>
      <c r="K67" s="1">
        <v>3.9230999999999999E-11</v>
      </c>
      <c r="L67" s="1">
        <v>62.438879999999997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2097939000</v>
      </c>
      <c r="Y67" s="1">
        <v>32851420</v>
      </c>
      <c r="Z67" s="1">
        <v>8.8615279999999997E-14</v>
      </c>
      <c r="AA67" s="1">
        <v>1.0306979999999999E-8</v>
      </c>
      <c r="AB67" s="1">
        <v>0</v>
      </c>
      <c r="AC67" s="1">
        <v>9.6358470000000003E-15</v>
      </c>
      <c r="AD67" s="1">
        <v>1.2285509999999999E-33</v>
      </c>
      <c r="AE67" s="1">
        <v>6.6708509999999999E-2</v>
      </c>
      <c r="AF67" s="1">
        <v>3.9664330000000001E-3</v>
      </c>
      <c r="AG67" s="1">
        <v>8.0301610000000002E-13</v>
      </c>
      <c r="AH67" s="1">
        <v>8.5372070000000004E-10</v>
      </c>
      <c r="AI67" s="1">
        <v>1.675494E-12</v>
      </c>
      <c r="AJ67" s="1">
        <v>3.7077650000000001E-17</v>
      </c>
      <c r="AK67" s="1">
        <v>5.5481260000000004E-7</v>
      </c>
      <c r="AL67" s="1">
        <v>1.2150170000000001E-12</v>
      </c>
      <c r="AM67" s="1">
        <v>2.2775840000000002E-13</v>
      </c>
      <c r="AN67" s="1">
        <v>9.8241020000000009E-16</v>
      </c>
      <c r="AO67" s="1">
        <v>1.9742830000000001E-20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1854.8579999999999</v>
      </c>
      <c r="BF67" s="1">
        <v>8038906</v>
      </c>
      <c r="BG67" s="1">
        <v>50869.13</v>
      </c>
      <c r="BH67" s="1">
        <v>0</v>
      </c>
      <c r="BI67" s="1">
        <v>18230.39</v>
      </c>
      <c r="BJ67" s="1">
        <v>0</v>
      </c>
      <c r="BK67" s="1">
        <v>6.2552469999999999E-2</v>
      </c>
      <c r="BL67" s="1">
        <v>2.9827499999999999E-5</v>
      </c>
      <c r="BM67" s="1">
        <v>4.0748149999999999E-10</v>
      </c>
      <c r="BN67" s="1">
        <v>0.55806719999999999</v>
      </c>
      <c r="BO67" s="1">
        <v>4.9083029999999998E-16</v>
      </c>
      <c r="BP67" s="1">
        <v>0</v>
      </c>
      <c r="BQ67" s="1">
        <v>2.5209869999999999E-5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1.542151E-31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3.6044210000000002E-8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N67" s="1">
        <f t="shared" si="0"/>
        <v>1460211901628.3479</v>
      </c>
      <c r="DP67" s="1">
        <f t="shared" si="6"/>
        <v>0.99217106666806398</v>
      </c>
      <c r="DQ67" s="1">
        <f t="shared" si="2"/>
        <v>5.5053009710682775E-6</v>
      </c>
      <c r="DR67" s="1">
        <f t="shared" si="3"/>
        <v>6.0686589323906422E-26</v>
      </c>
      <c r="DS67" s="1">
        <f t="shared" si="4"/>
        <v>2.2497707328207573E-5</v>
      </c>
      <c r="DT67" s="1">
        <f t="shared" si="5"/>
        <v>1.2702663208891562E-9</v>
      </c>
    </row>
    <row r="68" spans="1:124" x14ac:dyDescent="0.2">
      <c r="A68">
        <v>18842.076115</v>
      </c>
      <c r="B68">
        <v>18698.243472999999</v>
      </c>
      <c r="C68">
        <v>18985.908757000001</v>
      </c>
      <c r="D68">
        <v>868.38458600000001</v>
      </c>
      <c r="E68" s="1">
        <v>6.6927250000000001E-3</v>
      </c>
      <c r="F68" s="1">
        <v>6062722000</v>
      </c>
      <c r="G68" s="1">
        <v>4.1204469999999999E-11</v>
      </c>
      <c r="H68" s="1">
        <v>939901200000</v>
      </c>
      <c r="I68" s="1">
        <v>10684.55</v>
      </c>
      <c r="J68" s="1">
        <v>1.5619189999999999E-6</v>
      </c>
      <c r="K68" s="1">
        <v>6.4790420000000002E-12</v>
      </c>
      <c r="L68" s="1">
        <v>11.40753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1378840000</v>
      </c>
      <c r="Y68" s="1">
        <v>8271760</v>
      </c>
      <c r="Z68" s="1">
        <v>1.089083E-14</v>
      </c>
      <c r="AA68" s="1">
        <v>1.096946E-9</v>
      </c>
      <c r="AB68" s="1">
        <v>2.3739020000000001E-14</v>
      </c>
      <c r="AC68" s="1">
        <v>1.113924E-15</v>
      </c>
      <c r="AD68" s="1">
        <v>8.7997669999999995E-35</v>
      </c>
      <c r="AE68" s="1">
        <v>2.8761189999999999E-2</v>
      </c>
      <c r="AF68" s="1">
        <v>1.0620810000000001E-3</v>
      </c>
      <c r="AG68" s="1">
        <v>1.940954E-13</v>
      </c>
      <c r="AH68" s="1">
        <v>2.4898299999999998E-10</v>
      </c>
      <c r="AI68" s="1">
        <v>3.1783960000000001E-13</v>
      </c>
      <c r="AJ68" s="1">
        <v>4.5797700000000001E-18</v>
      </c>
      <c r="AK68" s="1">
        <v>1.4939520000000001E-7</v>
      </c>
      <c r="AL68" s="1">
        <v>2.947998E-13</v>
      </c>
      <c r="AM68" s="1">
        <v>4.7554640000000001E-14</v>
      </c>
      <c r="AN68" s="1">
        <v>1.2204000000000001E-16</v>
      </c>
      <c r="AO68" s="1">
        <v>2.4430499999999998E-21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214.3321</v>
      </c>
      <c r="BF68" s="1">
        <v>3257175</v>
      </c>
      <c r="BG68" s="1">
        <v>20584.37</v>
      </c>
      <c r="BH68" s="1">
        <v>0</v>
      </c>
      <c r="BI68" s="1">
        <v>18103.5</v>
      </c>
      <c r="BJ68" s="1">
        <v>0</v>
      </c>
      <c r="BK68" s="1">
        <v>2.567461E-2</v>
      </c>
      <c r="BL68" s="1">
        <v>7.9825959999999995E-6</v>
      </c>
      <c r="BM68" s="1">
        <v>7.4790420000000004E-11</v>
      </c>
      <c r="BN68" s="1">
        <v>9.1163289999999994E-2</v>
      </c>
      <c r="BO68" s="1">
        <v>5.6742669999999999E-17</v>
      </c>
      <c r="BP68" s="1">
        <v>1.9685960000000001E-16</v>
      </c>
      <c r="BQ68" s="1">
        <v>6.754527E-6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3.0781639999999999E-31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1.055574E-8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N68" s="1">
        <f t="shared" ref="DN68:DN72" si="7">SUM(F68:DL68)</f>
        <v>947354340533.3064</v>
      </c>
      <c r="DP68" s="1">
        <f t="shared" si="6"/>
        <v>0.99213267917354908</v>
      </c>
      <c r="DQ68" s="1">
        <f t="shared" ref="DQ68:DQ72" si="8">BF68/DN68</f>
        <v>3.4381802675505732E-6</v>
      </c>
      <c r="DR68" s="1">
        <f t="shared" ref="DR68:DR72" si="9">Z68/DN68</f>
        <v>1.1496046974217783E-26</v>
      </c>
      <c r="DS68" s="1">
        <f t="shared" ref="DS68:DS72" si="10">Y68/DN68</f>
        <v>8.7314319954912233E-6</v>
      </c>
      <c r="DT68" s="1">
        <f t="shared" ref="DT68:DT72" si="11">BE68/DN68</f>
        <v>2.2624280148370172E-10</v>
      </c>
    </row>
    <row r="69" spans="1:124" x14ac:dyDescent="0.2">
      <c r="A69">
        <v>19129.741398999999</v>
      </c>
      <c r="B69">
        <v>18985.908757000001</v>
      </c>
      <c r="C69">
        <v>19273.574041</v>
      </c>
      <c r="D69">
        <v>868.38458600000001</v>
      </c>
      <c r="E69" s="1">
        <v>4.3568590000000003E-3</v>
      </c>
      <c r="F69" s="1">
        <v>3949948000</v>
      </c>
      <c r="G69" s="1">
        <v>1.083278E-11</v>
      </c>
      <c r="H69" s="1">
        <v>608677100000</v>
      </c>
      <c r="I69" s="1">
        <v>4374.49</v>
      </c>
      <c r="J69" s="1">
        <v>4.1490650000000001E-7</v>
      </c>
      <c r="K69" s="1">
        <v>1.084913E-12</v>
      </c>
      <c r="L69" s="1">
        <v>2.0611869999999999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900808600</v>
      </c>
      <c r="Y69" s="1">
        <v>2179614</v>
      </c>
      <c r="Z69" s="1">
        <v>1.224084E-15</v>
      </c>
      <c r="AA69" s="1">
        <v>1.2203129999999999E-10</v>
      </c>
      <c r="AB69" s="1">
        <v>4.1509840000000003E-15</v>
      </c>
      <c r="AC69" s="1">
        <v>1.278553E-16</v>
      </c>
      <c r="AD69" s="1">
        <v>6.27739E-36</v>
      </c>
      <c r="AE69" s="1">
        <v>1.226784E-2</v>
      </c>
      <c r="AF69" s="1">
        <v>2.8350009999999999E-4</v>
      </c>
      <c r="AG69" s="1">
        <v>4.4468120000000003E-14</v>
      </c>
      <c r="AH69" s="1">
        <v>6.5377370000000005E-11</v>
      </c>
      <c r="AI69" s="1">
        <v>5.4139310000000001E-14</v>
      </c>
      <c r="AJ69" s="1">
        <v>5.0784820000000003E-19</v>
      </c>
      <c r="AK69" s="1">
        <v>4.0119129999999999E-8</v>
      </c>
      <c r="AL69" s="1">
        <v>6.6639649999999994E-14</v>
      </c>
      <c r="AM69" s="1">
        <v>8.9012080000000005E-15</v>
      </c>
      <c r="AN69" s="1">
        <v>1.357675E-17</v>
      </c>
      <c r="AO69" s="1">
        <v>2.7109710000000002E-22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26.156500000000001</v>
      </c>
      <c r="BF69" s="1">
        <v>1327996</v>
      </c>
      <c r="BG69" s="1">
        <v>8407.9089999999997</v>
      </c>
      <c r="BH69" s="1">
        <v>0</v>
      </c>
      <c r="BI69" s="1">
        <v>18102.66</v>
      </c>
      <c r="BJ69" s="1">
        <v>0</v>
      </c>
      <c r="BK69" s="1">
        <v>1.055973E-2</v>
      </c>
      <c r="BL69" s="1">
        <v>2.1384309999999999E-6</v>
      </c>
      <c r="BM69" s="1">
        <v>1.33897E-11</v>
      </c>
      <c r="BN69" s="1">
        <v>1.5556530000000001E-2</v>
      </c>
      <c r="BO69" s="1">
        <v>6.5131659999999998E-18</v>
      </c>
      <c r="BP69" s="1">
        <v>5.2839000000000001E-17</v>
      </c>
      <c r="BQ69" s="1">
        <v>1.804514E-6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3.3329549999999998E-32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3.0265909999999999E-9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N69" s="1">
        <f t="shared" si="7"/>
        <v>613531395123.31531</v>
      </c>
      <c r="DP69" s="1">
        <f t="shared" si="6"/>
        <v>0.99208794340126694</v>
      </c>
      <c r="DQ69" s="1">
        <f t="shared" si="8"/>
        <v>2.1645118905986587E-6</v>
      </c>
      <c r="DR69" s="1">
        <f t="shared" si="9"/>
        <v>1.9951448446317374E-27</v>
      </c>
      <c r="DS69" s="1">
        <f t="shared" si="10"/>
        <v>3.5525712576809759E-6</v>
      </c>
      <c r="DT69" s="1">
        <f t="shared" si="11"/>
        <v>4.263270014852742E-11</v>
      </c>
    </row>
    <row r="70" spans="1:124" x14ac:dyDescent="0.2">
      <c r="A70">
        <v>19417.406684000001</v>
      </c>
      <c r="B70">
        <v>19273.574041</v>
      </c>
      <c r="C70">
        <v>19561.239325999999</v>
      </c>
      <c r="D70">
        <v>868.38458600000001</v>
      </c>
      <c r="E70" s="1">
        <v>2.8362470000000001E-3</v>
      </c>
      <c r="F70" s="1">
        <v>2572197000</v>
      </c>
      <c r="G70" s="1">
        <v>2.8102690000000001E-12</v>
      </c>
      <c r="H70" s="1">
        <v>393126400000</v>
      </c>
      <c r="I70" s="1">
        <v>1778.8720000000001</v>
      </c>
      <c r="J70" s="1">
        <v>1.094431E-7</v>
      </c>
      <c r="K70" s="1">
        <v>1.7904769999999999E-13</v>
      </c>
      <c r="L70" s="1">
        <v>0.35839840000000001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587256400</v>
      </c>
      <c r="Y70" s="1">
        <v>574745.9</v>
      </c>
      <c r="Z70" s="1">
        <v>1.234617E-16</v>
      </c>
      <c r="AA70" s="1">
        <v>1.355688E-11</v>
      </c>
      <c r="AB70" s="1">
        <v>1.430508E-15</v>
      </c>
      <c r="AC70" s="1">
        <v>1.404756E-17</v>
      </c>
      <c r="AD70" s="1">
        <v>4.2308989999999999E-37</v>
      </c>
      <c r="AE70" s="1">
        <v>5.2127279999999998E-3</v>
      </c>
      <c r="AF70" s="1">
        <v>7.4770109999999998E-5</v>
      </c>
      <c r="AG70" s="1">
        <v>9.4600379999999994E-15</v>
      </c>
      <c r="AH70" s="1">
        <v>1.51413E-11</v>
      </c>
      <c r="AI70" s="1">
        <v>8.1073869999999999E-15</v>
      </c>
      <c r="AJ70" s="1">
        <v>4.9495390000000001E-20</v>
      </c>
      <c r="AK70" s="1">
        <v>1.066826E-8</v>
      </c>
      <c r="AL70" s="1">
        <v>1.370583E-14</v>
      </c>
      <c r="AM70" s="1">
        <v>1.445904E-15</v>
      </c>
      <c r="AN70" s="1">
        <v>1.326085E-18</v>
      </c>
      <c r="AO70" s="1">
        <v>2.643518E-23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3.0980120000000002</v>
      </c>
      <c r="BF70" s="1">
        <v>536762.19999999995</v>
      </c>
      <c r="BG70" s="1">
        <v>3412.259</v>
      </c>
      <c r="BH70" s="1">
        <v>0</v>
      </c>
      <c r="BI70" s="1">
        <v>18164.900000000001</v>
      </c>
      <c r="BJ70" s="1">
        <v>0</v>
      </c>
      <c r="BK70" s="1">
        <v>4.3079190000000003E-3</v>
      </c>
      <c r="BL70" s="1">
        <v>5.6792269999999997E-7</v>
      </c>
      <c r="BM70" s="1">
        <v>2.2833119999999998E-12</v>
      </c>
      <c r="BN70" s="1">
        <v>2.649467E-3</v>
      </c>
      <c r="BO70" s="1">
        <v>7.1565450000000004E-19</v>
      </c>
      <c r="BP70" s="1">
        <v>2.7961419999999999E-17</v>
      </c>
      <c r="BQ70" s="1">
        <v>4.7653040000000001E-7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6.5699629999999994E-33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8.4498390000000001E-10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N70" s="1">
        <f t="shared" si="7"/>
        <v>396286988267.59967</v>
      </c>
      <c r="DP70" s="1">
        <f t="shared" si="6"/>
        <v>0.99202449648569979</v>
      </c>
      <c r="DQ70" s="1">
        <f t="shared" si="8"/>
        <v>1.3544784862770763E-6</v>
      </c>
      <c r="DR70" s="1">
        <f t="shared" si="9"/>
        <v>3.1154618661521722E-28</v>
      </c>
      <c r="DS70" s="1">
        <f t="shared" si="10"/>
        <v>1.4503274571606496E-6</v>
      </c>
      <c r="DT70" s="1">
        <f t="shared" si="11"/>
        <v>7.8175970741386385E-12</v>
      </c>
    </row>
    <row r="71" spans="1:124" x14ac:dyDescent="0.2">
      <c r="A71">
        <v>19705.071968</v>
      </c>
      <c r="B71">
        <v>19561.239325999999</v>
      </c>
      <c r="C71">
        <v>19848.904610000001</v>
      </c>
      <c r="D71">
        <v>868.38458600000001</v>
      </c>
      <c r="E71" s="1">
        <v>1.8463520000000001E-3</v>
      </c>
      <c r="F71" s="1">
        <v>1674680000</v>
      </c>
      <c r="G71" s="1">
        <v>7.1051200000000001E-13</v>
      </c>
      <c r="H71" s="1">
        <v>252906600000</v>
      </c>
      <c r="I71" s="1">
        <v>712.32429999999999</v>
      </c>
      <c r="J71" s="1">
        <v>2.8385579999999999E-8</v>
      </c>
      <c r="K71" s="1">
        <v>2.8607280000000001E-14</v>
      </c>
      <c r="L71" s="1">
        <v>5.9264200000000003E-2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382519400</v>
      </c>
      <c r="Y71" s="1">
        <v>149444.29999999999</v>
      </c>
      <c r="Z71" s="1">
        <v>1.108246E-17</v>
      </c>
      <c r="AA71" s="1">
        <v>1.4792120000000001E-12</v>
      </c>
      <c r="AB71" s="1">
        <v>0</v>
      </c>
      <c r="AC71" s="1">
        <v>1.4516800000000001E-18</v>
      </c>
      <c r="AD71" s="1">
        <v>2.6163060000000001E-38</v>
      </c>
      <c r="AE71" s="1">
        <v>2.2115189999999999E-3</v>
      </c>
      <c r="AF71" s="1">
        <v>1.9335459999999999E-5</v>
      </c>
      <c r="AG71" s="1">
        <v>1.8389439999999999E-15</v>
      </c>
      <c r="AH71" s="1">
        <v>3.0467949999999998E-12</v>
      </c>
      <c r="AI71" s="1">
        <v>1.0502879999999999E-15</v>
      </c>
      <c r="AJ71" s="1">
        <v>4.1712919999999998E-21</v>
      </c>
      <c r="AK71" s="1">
        <v>2.7920299999999999E-9</v>
      </c>
      <c r="AL71" s="1">
        <v>2.531295E-15</v>
      </c>
      <c r="AM71" s="1">
        <v>2.0051829999999999E-16</v>
      </c>
      <c r="AN71" s="1">
        <v>1.119642E-19</v>
      </c>
      <c r="AO71" s="1">
        <v>2.229575E-24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0.3501785</v>
      </c>
      <c r="BF71" s="1">
        <v>213010.6</v>
      </c>
      <c r="BG71" s="1">
        <v>1362.9690000000001</v>
      </c>
      <c r="BH71" s="1">
        <v>0</v>
      </c>
      <c r="BI71" s="1">
        <v>18237.8</v>
      </c>
      <c r="BJ71" s="1">
        <v>0</v>
      </c>
      <c r="BK71" s="1">
        <v>1.730856E-3</v>
      </c>
      <c r="BL71" s="1">
        <v>1.484897E-7</v>
      </c>
      <c r="BM71" s="1">
        <v>3.6664160000000001E-13</v>
      </c>
      <c r="BN71" s="1">
        <v>4.4319260000000001E-4</v>
      </c>
      <c r="BO71" s="1">
        <v>7.3963720000000005E-20</v>
      </c>
      <c r="BP71" s="1">
        <v>0</v>
      </c>
      <c r="BQ71" s="1">
        <v>1.2347330000000001E-7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8.8556679999999995E-29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2.32581E-10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N71" s="1">
        <f t="shared" si="7"/>
        <v>254964182168.40717</v>
      </c>
      <c r="DP71" s="1">
        <f t="shared" si="6"/>
        <v>0.99192991677925924</v>
      </c>
      <c r="DQ71" s="1">
        <f t="shared" si="8"/>
        <v>8.3545303574956156E-7</v>
      </c>
      <c r="DR71" s="1">
        <f t="shared" si="9"/>
        <v>4.3466732878894693E-29</v>
      </c>
      <c r="DS71" s="1">
        <f t="shared" si="10"/>
        <v>5.8613840865416183E-7</v>
      </c>
      <c r="DT71" s="1">
        <f t="shared" si="11"/>
        <v>1.3734419361253752E-12</v>
      </c>
    </row>
    <row r="72" spans="1:124" x14ac:dyDescent="0.2">
      <c r="A72">
        <v>19992.737251999999</v>
      </c>
      <c r="B72">
        <v>19848.904610000001</v>
      </c>
      <c r="C72">
        <v>20136.569894</v>
      </c>
      <c r="D72">
        <v>868.38458600000001</v>
      </c>
      <c r="E72" s="1">
        <v>1.201946E-3</v>
      </c>
      <c r="F72" s="1">
        <v>1090245000</v>
      </c>
      <c r="G72" s="1">
        <v>1.7415930000000001E-13</v>
      </c>
      <c r="H72" s="1">
        <v>161760600000</v>
      </c>
      <c r="I72" s="1">
        <v>280.9237</v>
      </c>
      <c r="J72" s="1">
        <v>7.2301220000000001E-9</v>
      </c>
      <c r="K72" s="1">
        <v>4.4208700000000004E-15</v>
      </c>
      <c r="L72" s="1">
        <v>9.3701140000000006E-3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249073000</v>
      </c>
      <c r="Y72" s="1">
        <v>38407.29</v>
      </c>
      <c r="Z72" s="1">
        <v>8.9472070000000001E-19</v>
      </c>
      <c r="AA72" s="1">
        <v>1.583601E-13</v>
      </c>
      <c r="AB72" s="1">
        <v>0</v>
      </c>
      <c r="AC72" s="1">
        <v>1.423841E-19</v>
      </c>
      <c r="AD72" s="1">
        <v>1.4912249999999999E-39</v>
      </c>
      <c r="AE72" s="1">
        <v>9.3763850000000003E-4</v>
      </c>
      <c r="AF72" s="1">
        <v>4.9036129999999997E-6</v>
      </c>
      <c r="AG72" s="1">
        <v>3.2516780000000002E-16</v>
      </c>
      <c r="AH72" s="1">
        <v>5.3023680000000004E-13</v>
      </c>
      <c r="AI72" s="1">
        <v>1.169654E-16</v>
      </c>
      <c r="AJ72" s="1">
        <v>3.020088E-22</v>
      </c>
      <c r="AK72" s="1">
        <v>7.2071119999999995E-10</v>
      </c>
      <c r="AL72" s="1">
        <v>4.1900229999999998E-16</v>
      </c>
      <c r="AM72" s="1">
        <v>2.371033E-17</v>
      </c>
      <c r="AN72" s="1">
        <v>8.1229630000000003E-21</v>
      </c>
      <c r="AO72" s="1">
        <v>1.6164160000000001E-25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3.8176059999999998E-2</v>
      </c>
      <c r="BF72" s="1">
        <v>82939.94</v>
      </c>
      <c r="BG72" s="1">
        <v>535.47559999999999</v>
      </c>
      <c r="BH72" s="1">
        <v>0</v>
      </c>
      <c r="BI72" s="1">
        <v>17584.080000000002</v>
      </c>
      <c r="BJ72" s="1">
        <v>0</v>
      </c>
      <c r="BK72" s="1">
        <v>6.8604410000000005E-4</v>
      </c>
      <c r="BL72" s="1">
        <v>3.828572E-8</v>
      </c>
      <c r="BM72" s="1">
        <v>5.5766650000000002E-14</v>
      </c>
      <c r="BN72" s="1">
        <v>7.2851949999999996E-5</v>
      </c>
      <c r="BO72" s="1">
        <v>7.2557259999999996E-21</v>
      </c>
      <c r="BP72" s="1">
        <v>0</v>
      </c>
      <c r="BQ72" s="1">
        <v>3.1409909999999999E-8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6.8986450000000005E-11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N72" s="1">
        <f t="shared" si="7"/>
        <v>163100057747.75851</v>
      </c>
      <c r="DP72" s="1">
        <f t="shared" si="6"/>
        <v>0.99178750905269419</v>
      </c>
      <c r="DQ72" s="1">
        <f t="shared" si="8"/>
        <v>5.0852183098714964E-7</v>
      </c>
      <c r="DR72" s="1">
        <f t="shared" si="9"/>
        <v>5.4857166352676912E-30</v>
      </c>
      <c r="DS72" s="1">
        <f t="shared" si="10"/>
        <v>2.3548299449040404E-7</v>
      </c>
      <c r="DT72" s="1">
        <f t="shared" si="11"/>
        <v>2.3406527580168592E-13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2022-08-23T18:52:55Z</dcterms:created>
  <dcterms:modified xsi:type="dcterms:W3CDTF">2022-08-23T22:51:02Z</dcterms:modified>
</cp:coreProperties>
</file>